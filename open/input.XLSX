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mon.mburu\OneDrive - Techno Brain Group\Documents\odoo\SAP Migration\Transactions Data\UG10\UG10\"/>
    </mc:Choice>
  </mc:AlternateContent>
  <xr:revisionPtr revIDLastSave="0" documentId="13_ncr:1_{D2A56799-5BBC-42D5-A4C4-B3B41C4C158C}" xr6:coauthVersionLast="36" xr6:coauthVersionMax="47" xr10:uidLastSave="{00000000-0000-0000-0000-000000000000}"/>
  <bookViews>
    <workbookView xWindow="0" yWindow="0" windowWidth="19200" windowHeight="85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Sheet1!$A$1:$AC$44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<sst xmlns="http://schemas.openxmlformats.org/spreadsheetml/2006/main" count="1007" uniqueCount="195">
  <si>
    <t>UG10</t>
  </si>
  <si>
    <t>4400000971</t>
  </si>
  <si>
    <t>ARIS  Insurance Brokers</t>
  </si>
  <si>
    <t>10040</t>
  </si>
  <si>
    <t>3418000039</t>
  </si>
  <si>
    <t>USD</t>
  </si>
  <si>
    <t/>
  </si>
  <si>
    <t>UGX</t>
  </si>
  <si>
    <t>1040000010</t>
  </si>
  <si>
    <t>Payable to Vendor as on 31-12-2015</t>
  </si>
  <si>
    <t>KR</t>
  </si>
  <si>
    <t>X</t>
  </si>
  <si>
    <t>4400001025</t>
  </si>
  <si>
    <t>Jubilee Insurance Company</t>
  </si>
  <si>
    <t>31122015</t>
  </si>
  <si>
    <t>3400000033</t>
  </si>
  <si>
    <t>Payable to Vendor as on 31-12-2015-151610</t>
  </si>
  <si>
    <t>AB</t>
  </si>
  <si>
    <t>Payable to Vendor as on 31-12-2015-134497</t>
  </si>
  <si>
    <t>Payable to Vendor as on 31-12-2015-148752</t>
  </si>
  <si>
    <t>4400001494</t>
  </si>
  <si>
    <t>Ministry of internal affairs</t>
  </si>
  <si>
    <t>40010</t>
  </si>
  <si>
    <t>3414000009</t>
  </si>
  <si>
    <t>M</t>
  </si>
  <si>
    <t>2030600070</t>
  </si>
  <si>
    <t>Security bond with Immigration</t>
  </si>
  <si>
    <t>KZ</t>
  </si>
  <si>
    <t>A</t>
  </si>
  <si>
    <t>4400001048</t>
  </si>
  <si>
    <t>Mutual Investments</t>
  </si>
  <si>
    <t>3414000018</t>
  </si>
  <si>
    <t>N</t>
  </si>
  <si>
    <t>2020400000</t>
  </si>
  <si>
    <t>Adv payment towards security deposit for Shashi ho</t>
  </si>
  <si>
    <t>3400000029</t>
  </si>
  <si>
    <t>4400001682</t>
  </si>
  <si>
    <t>Reddot Distribution FZE</t>
  </si>
  <si>
    <t>28376</t>
  </si>
  <si>
    <t>3425000018</t>
  </si>
  <si>
    <t>1040000100</t>
  </si>
  <si>
    <t>Power BI Licenses</t>
  </si>
  <si>
    <t>RE</t>
  </si>
  <si>
    <t>4400001432</t>
  </si>
  <si>
    <t>Cisco Press</t>
  </si>
  <si>
    <t>DR5905778</t>
  </si>
  <si>
    <t>3425000071</t>
  </si>
  <si>
    <t>Cisco (ICDN1)</t>
  </si>
  <si>
    <t>4400004150</t>
  </si>
  <si>
    <t>Envator Pty Ltd</t>
  </si>
  <si>
    <t>IVBF43418638</t>
  </si>
  <si>
    <t>3418000018</t>
  </si>
  <si>
    <t>Envato Buyer Fee for purchase of "Metronic - Boot</t>
  </si>
  <si>
    <t>IVBF43418639</t>
  </si>
  <si>
    <t>3418000019</t>
  </si>
  <si>
    <t>IVHF26671662</t>
  </si>
  <si>
    <t>3418000020</t>
  </si>
  <si>
    <t>Handling Fee for Envato Market order 147627376</t>
  </si>
  <si>
    <t>IVIP43729721</t>
  </si>
  <si>
    <t>3418000021</t>
  </si>
  <si>
    <t>Metronic - Bootstrap 4/5 HTML</t>
  </si>
  <si>
    <t>IVIP43729722</t>
  </si>
  <si>
    <t>3418000022</t>
  </si>
  <si>
    <t>Metronic - Bootstrap 4/5 HTML</t>
  </si>
  <si>
    <t>4400004285</t>
  </si>
  <si>
    <t>UAP Old Mutual Insurance Uganda Lim</t>
  </si>
  <si>
    <t>2219910224521800</t>
  </si>
  <si>
    <t>3418000036</t>
  </si>
  <si>
    <t>HEALTH/MEDICALinsurance per annum</t>
  </si>
  <si>
    <t>4400004400</t>
  </si>
  <si>
    <t>M/S RUDRA INVESTMENTS LTD</t>
  </si>
  <si>
    <t>3414000019</t>
  </si>
  <si>
    <t>Security Deposit</t>
  </si>
  <si>
    <t>121431155311</t>
  </si>
  <si>
    <t>3418000012</t>
  </si>
  <si>
    <t>Health insurance October 2021 to Sept 2022</t>
  </si>
  <si>
    <t>410073</t>
  </si>
  <si>
    <t>Shivarudrappa Shashidhar B</t>
  </si>
  <si>
    <t>LOAN</t>
  </si>
  <si>
    <t>3400000161</t>
  </si>
  <si>
    <t>L</t>
  </si>
  <si>
    <t>2030600110</t>
  </si>
  <si>
    <t>Shashi School Fees _ KAASHVI SHASHIDHAR _Term 3 Ye</t>
  </si>
  <si>
    <t>0000410073</t>
  </si>
  <si>
    <t>SA</t>
  </si>
  <si>
    <t>3400000278</t>
  </si>
  <si>
    <t>Shashi School Fees _JANYUH SHASHIDHAR_ Term 3 Year</t>
  </si>
  <si>
    <t>ADVANCE PAYMENT</t>
  </si>
  <si>
    <t>3400000307</t>
  </si>
  <si>
    <t>C</t>
  </si>
  <si>
    <t>2030600020</t>
  </si>
  <si>
    <t>adv pmt Shashi School Fees _ KAASHVI _Term 1 Year</t>
  </si>
  <si>
    <t>adv pmt Shashi School Fees _ Janyuh _Term 1 Year 4</t>
  </si>
  <si>
    <t>3400000056</t>
  </si>
  <si>
    <t>Adv pmt-Shashi School Fees _ KAASHVI -Term 2 Year</t>
  </si>
  <si>
    <t>3400000057</t>
  </si>
  <si>
    <t>Adv pmt-Shashi School Fees _ Janyuh-Term 2 Year 4</t>
  </si>
  <si>
    <t>SHASHI SCHOOL FE</t>
  </si>
  <si>
    <t>3400000086</t>
  </si>
  <si>
    <t>4400004557</t>
  </si>
  <si>
    <t>TUMAINI INVESTMENTS LTD</t>
  </si>
  <si>
    <t>DEPOSIT&amp;RENT PMT</t>
  </si>
  <si>
    <t>3400000044</t>
  </si>
  <si>
    <t>Security Deposit  for New Office space </t>
  </si>
  <si>
    <t>ADV PMT</t>
  </si>
  <si>
    <t>3400000433</t>
  </si>
  <si>
    <t>T</t>
  </si>
  <si>
    <t>2030600090</t>
  </si>
  <si>
    <t>Travel adv Nairobi for Min of FinanceTrain-shashi</t>
  </si>
  <si>
    <t>4400000983</t>
  </si>
  <si>
    <t>Celtel( Airtel Uganda Ltd)</t>
  </si>
  <si>
    <t>124950870955</t>
  </si>
  <si>
    <t>3418000041</t>
  </si>
  <si>
    <t>Mobile e xp oct 24</t>
  </si>
  <si>
    <t>3414000052</t>
  </si>
  <si>
    <t>SALARY ADVANCE</t>
  </si>
  <si>
    <t>3400000396</t>
  </si>
  <si>
    <t>E</t>
  </si>
  <si>
    <t>2030600080</t>
  </si>
  <si>
    <t>Shashi Salary advance##to be recoved till OCT24</t>
  </si>
  <si>
    <t>3400000279</t>
  </si>
  <si>
    <t>3400000397</t>
  </si>
  <si>
    <t>AdvNairobi Travel expenses_ MOF training-shashidar</t>
  </si>
  <si>
    <t>3400000398</t>
  </si>
  <si>
    <t>1040000090</t>
  </si>
  <si>
    <t>Staff Travel advance Shashi while travelling to In</t>
  </si>
  <si>
    <t>3400000399</t>
  </si>
  <si>
    <t>Staff Travel Advance Shashi</t>
  </si>
  <si>
    <t>3400000400</t>
  </si>
  <si>
    <t>3400000401</t>
  </si>
  <si>
    <t>Food exp claim from shahsidar</t>
  </si>
  <si>
    <t>3400000402</t>
  </si>
  <si>
    <t>Shashi refund for Expenses</t>
  </si>
  <si>
    <t>3400000403</t>
  </si>
  <si>
    <t>NBO TRAINING</t>
  </si>
  <si>
    <t>3400000430</t>
  </si>
  <si>
    <t>Shashidhar claim for NBO frontend training</t>
  </si>
  <si>
    <t>4400004555</t>
  </si>
  <si>
    <t>LEARNOVATE TECHNOLOGIES LIMITED</t>
  </si>
  <si>
    <t>LTL/00468/2022</t>
  </si>
  <si>
    <t>3425000026</t>
  </si>
  <si>
    <t>1040000110</t>
  </si>
  <si>
    <t>Front end training 28oct-15 Nov 24</t>
  </si>
  <si>
    <t>3400000031</t>
  </si>
  <si>
    <t>PAYROLL NOV 24</t>
  </si>
  <si>
    <t>3400000416</t>
  </si>
  <si>
    <t>Nov 2024 - Salary Advance  - Recovered</t>
  </si>
  <si>
    <t>950000007596488</t>
  </si>
  <si>
    <t>3418000042</t>
  </si>
  <si>
    <t>Mobile e xp Nov 24</t>
  </si>
  <si>
    <t>PAYROLL DEC 2024</t>
  </si>
  <si>
    <t>3400000457</t>
  </si>
  <si>
    <t>Dec 2024 - Salary Advance  - Recovered</t>
  </si>
  <si>
    <t>4400004537</t>
  </si>
  <si>
    <t>RUMEE INVESTMENTS LIMITED</t>
  </si>
  <si>
    <t>3400000489</t>
  </si>
  <si>
    <t>Yet to recieve from rumee VAT amount</t>
  </si>
  <si>
    <t>410008</t>
  </si>
  <si>
    <t>Oketch Joseph</t>
  </si>
  <si>
    <t>3400000497</t>
  </si>
  <si>
    <t>Malawi trip joseph oketch claim 16th Oct 24th Nov</t>
  </si>
  <si>
    <t>0000410008</t>
  </si>
  <si>
    <t>3414000002</t>
  </si>
  <si>
    <t>Company Code</t>
  </si>
  <si>
    <t>Account</t>
  </si>
  <si>
    <t>Vendor Name</t>
  </si>
  <si>
    <t>Document Date</t>
  </si>
  <si>
    <t>Reference</t>
  </si>
  <si>
    <t>Document Number</t>
  </si>
  <si>
    <t>Amount in doc. curr.</t>
  </si>
  <si>
    <t>Amount in local currency</t>
  </si>
  <si>
    <t>Amt in Grp. Curr.</t>
  </si>
  <si>
    <t>Group Currency</t>
  </si>
  <si>
    <t>Amt in loc.curr. 3</t>
  </si>
  <si>
    <t>Posting Date</t>
  </si>
  <si>
    <t>Special G/L ind.</t>
  </si>
  <si>
    <t>Local Currency</t>
  </si>
  <si>
    <t>G/L Account</t>
  </si>
  <si>
    <t>Text</t>
  </si>
  <si>
    <t>Cost Center</t>
  </si>
  <si>
    <t>Assignment</t>
  </si>
  <si>
    <t>Branch account</t>
  </si>
  <si>
    <t>Vendor</t>
  </si>
  <si>
    <t>Document Type</t>
  </si>
  <si>
    <t>Net due date symbol</t>
  </si>
  <si>
    <t>Cleared/open items symbol</t>
  </si>
  <si>
    <t>Due net</t>
  </si>
  <si>
    <t>Clearing Document</t>
  </si>
  <si>
    <t>General ledger currency</t>
  </si>
  <si>
    <t>Profit Center</t>
  </si>
  <si>
    <t>Sp.G/L trans.type</t>
  </si>
  <si>
    <t>Row Labels</t>
  </si>
  <si>
    <t>Grand Total</t>
  </si>
  <si>
    <t>Sum of Amount in local currency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</si>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</sst>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21</xdr:col>
      <xdr:colOff>152400</xdr:colOff>
      <xdr:row>1</xdr:row>
      <xdr:rowOff>133350</xdr:rowOff>
    </xdr:to>
    <xdr:pic>
      <xdr:nvPicPr>
        <xdr:cNvPr id="2" name="Picture@AG\QOverdue@" descr="@AG\QOverdue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</xdr:row>
      <xdr:rowOff>0</xdr:rowOff>
    </xdr:from>
    <xdr:to>
      <xdr:col>23</xdr:col>
      <xdr:colOff>152400</xdr:colOff>
      <xdr:row>1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152400</xdr:colOff>
      <xdr:row>2</xdr:row>
      <xdr:rowOff>133350</xdr:rowOff>
    </xdr:to>
    <xdr:pic>
      <xdr:nvPicPr>
        <xdr:cNvPr id="4" name="Picture@AG\QOverdue@" descr="@AG\QOverdue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</xdr:row>
      <xdr:rowOff>0</xdr:rowOff>
    </xdr:from>
    <xdr:to>
      <xdr:col>23</xdr:col>
      <xdr:colOff>152400</xdr:colOff>
      <xdr:row>2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152400</xdr:colOff>
      <xdr:row>3</xdr:row>
      <xdr:rowOff>133350</xdr:rowOff>
    </xdr:to>
    <xdr:pic>
      <xdr:nvPicPr>
        <xdr:cNvPr id="6" name="Picture@AG\QOverdue@" descr="@AG\QOverdue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</xdr:row>
      <xdr:rowOff>0</xdr:rowOff>
    </xdr:from>
    <xdr:to>
      <xdr:col>23</xdr:col>
      <xdr:colOff>152400</xdr:colOff>
      <xdr:row>3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21</xdr:col>
      <xdr:colOff>152400</xdr:colOff>
      <xdr:row>4</xdr:row>
      <xdr:rowOff>133350</xdr:rowOff>
    </xdr:to>
    <xdr:pic>
      <xdr:nvPicPr>
        <xdr:cNvPr id="8" name="Picture@AG\QOverdue@" descr="@AG\QOverdue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23</xdr:col>
      <xdr:colOff>152400</xdr:colOff>
      <xdr:row>4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5</xdr:row>
      <xdr:rowOff>0</xdr:rowOff>
    </xdr:from>
    <xdr:to>
      <xdr:col>23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6</xdr:row>
      <xdr:rowOff>0</xdr:rowOff>
    </xdr:from>
    <xdr:to>
      <xdr:col>23</xdr:col>
      <xdr:colOff>152400</xdr:colOff>
      <xdr:row>6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7</xdr:row>
      <xdr:rowOff>0</xdr:rowOff>
    </xdr:from>
    <xdr:to>
      <xdr:col>21</xdr:col>
      <xdr:colOff>152400</xdr:colOff>
      <xdr:row>7</xdr:row>
      <xdr:rowOff>133350</xdr:rowOff>
    </xdr:to>
    <xdr:pic>
      <xdr:nvPicPr>
        <xdr:cNvPr id="12" name="Picture@AG\QOverdue@" descr="@AG\QOverdue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7</xdr:row>
      <xdr:rowOff>0</xdr:rowOff>
    </xdr:from>
    <xdr:to>
      <xdr:col>23</xdr:col>
      <xdr:colOff>152400</xdr:colOff>
      <xdr:row>7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8</xdr:row>
      <xdr:rowOff>0</xdr:rowOff>
    </xdr:from>
    <xdr:to>
      <xdr:col>21</xdr:col>
      <xdr:colOff>152400</xdr:colOff>
      <xdr:row>8</xdr:row>
      <xdr:rowOff>133350</xdr:rowOff>
    </xdr:to>
    <xdr:pic>
      <xdr:nvPicPr>
        <xdr:cNvPr id="14" name="Picture@AG\QOverdue@" descr="@AG\QOverdue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8</xdr:row>
      <xdr:rowOff>0</xdr:rowOff>
    </xdr:from>
    <xdr:to>
      <xdr:col>23</xdr:col>
      <xdr:colOff>152400</xdr:colOff>
      <xdr:row>8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9</xdr:row>
      <xdr:rowOff>0</xdr:rowOff>
    </xdr:from>
    <xdr:to>
      <xdr:col>21</xdr:col>
      <xdr:colOff>152400</xdr:colOff>
      <xdr:row>9</xdr:row>
      <xdr:rowOff>133350</xdr:rowOff>
    </xdr:to>
    <xdr:pic>
      <xdr:nvPicPr>
        <xdr:cNvPr id="16" name="Picture@AG\QOverdue@" descr="@AG\QOverdue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9</xdr:row>
      <xdr:rowOff>0</xdr:rowOff>
    </xdr:from>
    <xdr:to>
      <xdr:col>23</xdr:col>
      <xdr:colOff>152400</xdr:colOff>
      <xdr:row>9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10</xdr:row>
      <xdr:rowOff>0</xdr:rowOff>
    </xdr:from>
    <xdr:to>
      <xdr:col>21</xdr:col>
      <xdr:colOff>152400</xdr:colOff>
      <xdr:row>10</xdr:row>
      <xdr:rowOff>133350</xdr:rowOff>
    </xdr:to>
    <xdr:pic>
      <xdr:nvPicPr>
        <xdr:cNvPr id="18" name="Picture@AG\QOverdue@" descr="@AG\QOverdue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10</xdr:row>
      <xdr:rowOff>0</xdr:rowOff>
    </xdr:from>
    <xdr:to>
      <xdr:col>23</xdr:col>
      <xdr:colOff>152400</xdr:colOff>
      <xdr:row>10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152400</xdr:colOff>
      <xdr:row>11</xdr:row>
      <xdr:rowOff>133350</xdr:rowOff>
    </xdr:to>
    <xdr:pic>
      <xdr:nvPicPr>
        <xdr:cNvPr id="20" name="Picture@AG\QOverdue@" descr="@AG\QOverdue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152400</xdr:colOff>
      <xdr:row>11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12</xdr:row>
      <xdr:rowOff>0</xdr:rowOff>
    </xdr:from>
    <xdr:to>
      <xdr:col>21</xdr:col>
      <xdr:colOff>152400</xdr:colOff>
      <xdr:row>12</xdr:row>
      <xdr:rowOff>133350</xdr:rowOff>
    </xdr:to>
    <xdr:pic>
      <xdr:nvPicPr>
        <xdr:cNvPr id="22" name="Picture@AG\QOverdue@" descr="@AG\QOverdue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152400</xdr:colOff>
      <xdr:row>12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152400</xdr:colOff>
      <xdr:row>13</xdr:row>
      <xdr:rowOff>133350</xdr:rowOff>
    </xdr:to>
    <xdr:pic>
      <xdr:nvPicPr>
        <xdr:cNvPr id="24" name="Picture@AG\QOverdue@" descr="@AG\QOverdue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152400</xdr:colOff>
      <xdr:row>13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152400</xdr:colOff>
      <xdr:row>14</xdr:row>
      <xdr:rowOff>133350</xdr:rowOff>
    </xdr:to>
    <xdr:pic>
      <xdr:nvPicPr>
        <xdr:cNvPr id="26" name="Picture@AG\QOverdue@" descr="@AG\QOverdue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14</xdr:row>
      <xdr:rowOff>0</xdr:rowOff>
    </xdr:from>
    <xdr:to>
      <xdr:col>23</xdr:col>
      <xdr:colOff>152400</xdr:colOff>
      <xdr:row>14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152400</xdr:colOff>
      <xdr:row>15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152400</xdr:colOff>
      <xdr:row>16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152400</xdr:colOff>
      <xdr:row>16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152400</xdr:colOff>
      <xdr:row>17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18</xdr:row>
      <xdr:rowOff>0</xdr:rowOff>
    </xdr:from>
    <xdr:to>
      <xdr:col>23</xdr:col>
      <xdr:colOff>152400</xdr:colOff>
      <xdr:row>18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152400</xdr:colOff>
      <xdr:row>19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20</xdr:row>
      <xdr:rowOff>0</xdr:rowOff>
    </xdr:from>
    <xdr:to>
      <xdr:col>23</xdr:col>
      <xdr:colOff>152400</xdr:colOff>
      <xdr:row>20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21</xdr:row>
      <xdr:rowOff>0</xdr:rowOff>
    </xdr:from>
    <xdr:to>
      <xdr:col>23</xdr:col>
      <xdr:colOff>152400</xdr:colOff>
      <xdr:row>21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22</xdr:row>
      <xdr:rowOff>0</xdr:rowOff>
    </xdr:from>
    <xdr:to>
      <xdr:col>23</xdr:col>
      <xdr:colOff>152400</xdr:colOff>
      <xdr:row>22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152400</xdr:colOff>
      <xdr:row>23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24</xdr:row>
      <xdr:rowOff>0</xdr:rowOff>
    </xdr:from>
    <xdr:to>
      <xdr:col>23</xdr:col>
      <xdr:colOff>152400</xdr:colOff>
      <xdr:row>24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152400</xdr:colOff>
      <xdr:row>25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152400</xdr:colOff>
      <xdr:row>26</xdr:row>
      <xdr:rowOff>133350</xdr:rowOff>
    </xdr:to>
    <xdr:pic>
      <xdr:nvPicPr>
        <xdr:cNvPr id="40" name="Picture@AG\QOverdue@" descr="@AG\QOverdue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152400</xdr:colOff>
      <xdr:row>26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152400</xdr:colOff>
      <xdr:row>27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28</xdr:row>
      <xdr:rowOff>0</xdr:rowOff>
    </xdr:from>
    <xdr:to>
      <xdr:col>23</xdr:col>
      <xdr:colOff>152400</xdr:colOff>
      <xdr:row>28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152400</xdr:colOff>
      <xdr:row>29</xdr:row>
      <xdr:rowOff>133350</xdr:rowOff>
    </xdr:to>
    <xdr:pic>
      <xdr:nvPicPr>
        <xdr:cNvPr id="44" name="Picture@AG\QOverdue@" descr="@AG\QOverdue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29</xdr:row>
      <xdr:rowOff>0</xdr:rowOff>
    </xdr:from>
    <xdr:to>
      <xdr:col>23</xdr:col>
      <xdr:colOff>152400</xdr:colOff>
      <xdr:row>29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30</xdr:row>
      <xdr:rowOff>0</xdr:rowOff>
    </xdr:from>
    <xdr:to>
      <xdr:col>21</xdr:col>
      <xdr:colOff>152400</xdr:colOff>
      <xdr:row>30</xdr:row>
      <xdr:rowOff>133350</xdr:rowOff>
    </xdr:to>
    <xdr:pic>
      <xdr:nvPicPr>
        <xdr:cNvPr id="46" name="Picture@AG\QOverdue@" descr="@AG\QOverdue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30</xdr:row>
      <xdr:rowOff>0</xdr:rowOff>
    </xdr:from>
    <xdr:to>
      <xdr:col>23</xdr:col>
      <xdr:colOff>152400</xdr:colOff>
      <xdr:row>30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31</xdr:row>
      <xdr:rowOff>0</xdr:rowOff>
    </xdr:from>
    <xdr:to>
      <xdr:col>23</xdr:col>
      <xdr:colOff>152400</xdr:colOff>
      <xdr:row>31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32</xdr:row>
      <xdr:rowOff>0</xdr:rowOff>
    </xdr:from>
    <xdr:to>
      <xdr:col>21</xdr:col>
      <xdr:colOff>152400</xdr:colOff>
      <xdr:row>32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32</xdr:row>
      <xdr:rowOff>0</xdr:rowOff>
    </xdr:from>
    <xdr:to>
      <xdr:col>23</xdr:col>
      <xdr:colOff>152400</xdr:colOff>
      <xdr:row>32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33</xdr:row>
      <xdr:rowOff>0</xdr:rowOff>
    </xdr:from>
    <xdr:to>
      <xdr:col>21</xdr:col>
      <xdr:colOff>152400</xdr:colOff>
      <xdr:row>33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33</xdr:row>
      <xdr:rowOff>0</xdr:rowOff>
    </xdr:from>
    <xdr:to>
      <xdr:col>23</xdr:col>
      <xdr:colOff>152400</xdr:colOff>
      <xdr:row>33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152400</xdr:colOff>
      <xdr:row>34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152400</xdr:colOff>
      <xdr:row>34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35</xdr:row>
      <xdr:rowOff>0</xdr:rowOff>
    </xdr:from>
    <xdr:to>
      <xdr:col>21</xdr:col>
      <xdr:colOff>152400</xdr:colOff>
      <xdr:row>35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152400</xdr:colOff>
      <xdr:row>35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36</xdr:row>
      <xdr:rowOff>0</xdr:rowOff>
    </xdr:from>
    <xdr:to>
      <xdr:col>21</xdr:col>
      <xdr:colOff>152400</xdr:colOff>
      <xdr:row>36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152400</xdr:colOff>
      <xdr:row>36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152400</xdr:colOff>
      <xdr:row>37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37</xdr:row>
      <xdr:rowOff>0</xdr:rowOff>
    </xdr:from>
    <xdr:to>
      <xdr:col>23</xdr:col>
      <xdr:colOff>152400</xdr:colOff>
      <xdr:row>37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38</xdr:row>
      <xdr:rowOff>0</xdr:rowOff>
    </xdr:from>
    <xdr:to>
      <xdr:col>21</xdr:col>
      <xdr:colOff>152400</xdr:colOff>
      <xdr:row>38</xdr:row>
      <xdr:rowOff>133350</xdr:rowOff>
    </xdr:to>
    <xdr:pic>
      <xdr:nvPicPr>
        <xdr:cNvPr id="61" name="Picture@1V\QDue@" descr="@1V\Q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152400</xdr:colOff>
      <xdr:row>38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152400</xdr:colOff>
      <xdr:row>39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152400</xdr:colOff>
      <xdr:row>39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40</xdr:row>
      <xdr:rowOff>0</xdr:rowOff>
    </xdr:from>
    <xdr:to>
      <xdr:col>23</xdr:col>
      <xdr:colOff>152400</xdr:colOff>
      <xdr:row>40</xdr:row>
      <xdr:rowOff>133350</xdr:rowOff>
    </xdr:to>
    <xdr:pic>
      <xdr:nvPicPr>
        <xdr:cNvPr id="65" name="Picture@5C\Qopen@" descr="@5C\Qope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152400</xdr:colOff>
      <xdr:row>41</xdr:row>
      <xdr:rowOff>133350</xdr:rowOff>
    </xdr:to>
    <xdr:pic>
      <xdr:nvPicPr>
        <xdr:cNvPr id="66" name="Picture@1V\QDue@" descr="@1V\QDue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23</xdr:col>
      <xdr:colOff>0</xdr:colOff>
      <xdr:row>41</xdr:row>
      <xdr:rowOff>0</xdr:rowOff>
    </xdr:from>
    <xdr:to>
      <xdr:col>23</xdr:col>
      <xdr:colOff>152400</xdr:colOff>
      <xdr:row>41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isal" refreshedDate="45895.539047222221" createdVersion="8" refreshedVersion="8" minRefreshableVersion="3" recordCount="41" xr:uid="{1BA88CE3-E41E-4056-9296-48BF2ADABF7A}">
  <cacheSource type="worksheet">
    <worksheetSource ref="A1:AC42" sheet="Sheet1"/>
  </cacheSource>
  <cacheFields count="29">
    <cacheField name="Company Code" numFmtId="0">
      <sharedItems/>
    </cacheField>
    <cacheField name="Account" numFmtId="0">
      <sharedItems/>
    </cacheField>
    <cacheField name="Vendor Name" numFmtId="0">
      <sharedItems count="15">
        <s v="ARIS  Insurance Brokers"/>
        <s v="Jubilee Insurance Company"/>
        <s v="Ministry of internal affairs"/>
        <s v="Mutual Investments"/>
        <s v="Reddot Distribution FZE"/>
        <s v="Cisco Press"/>
        <s v="Envator Pty Ltd"/>
        <s v="UAP Old Mutual Insurance Uganda Lim"/>
        <s v="M/S RUDRA INVESTMENTS LTD"/>
        <s v="Shivarudrappa Shashidhar B"/>
        <s v="TUMAINI INVESTMENTS LTD"/>
        <s v="Celtel( Airtel Uganda Ltd)"/>
        <s v="LEARNOVATE TECHNOLOGIES LIMITED"/>
        <s v="RUMEE INVESTMENTS LIMITED"/>
        <s v="Oketch Joseph"/>
      </sharedItems>
    </cacheField>
    <cacheField name="Document Date" numFmtId="14">
      <sharedItems containsSemiMixedTypes="0" containsNonDate="0" containsDate="1" containsString="0" minDate="2015-05-06T00:00:00" maxDate="2025-01-01T00:00:00"/>
    </cacheField>
    <cacheField name="Reference" numFmtId="0">
      <sharedItems/>
    </cacheField>
    <cacheField name="Document Number" numFmtId="0">
      <sharedItems/>
    </cacheField>
    <cacheField name="Amount in doc. curr." numFmtId="0">
      <sharedItems containsSemiMixedTypes="0" containsString="0" containsNumber="1" minValue="-22199847" maxValue="14616000"/>
    </cacheField>
    <cacheField name="Amount in local currency" numFmtId="3">
      <sharedItems containsSemiMixedTypes="0" containsString="0" containsNumber="1" containsInteger="1" minValue="-45276703" maxValue="14616000"/>
    </cacheField>
    <cacheField name="Amt in Grp. Curr." numFmtId="4">
      <sharedItems containsSemiMixedTypes="0" containsString="0" containsNumber="1" minValue="-12274.5" maxValue="3992.8"/>
    </cacheField>
    <cacheField name="Group Currency" numFmtId="0">
      <sharedItems/>
    </cacheField>
    <cacheField name="Amt in loc.curr. 3" numFmtId="4">
      <sharedItems containsSemiMixedTypes="0" containsString="0" containsNumber="1" containsInteger="1" minValue="0" maxValue="0"/>
    </cacheField>
    <cacheField name="Posting Date" numFmtId="14">
      <sharedItems containsSemiMixedTypes="0" containsNonDate="0" containsDate="1" containsString="0" minDate="2015-12-31T00:00:00" maxDate="2025-01-01T00:00:00"/>
    </cacheField>
    <cacheField name="Special G/L ind." numFmtId="0">
      <sharedItems/>
    </cacheField>
    <cacheField name="Local Currency" numFmtId="0">
      <sharedItems/>
    </cacheField>
    <cacheField name="G/L Account" numFmtId="0">
      <sharedItems count="10">
        <s v="1040000010"/>
        <s v="2030600070"/>
        <s v="2020400000"/>
        <s v="1040000100"/>
        <s v="2030600110"/>
        <s v="2030600020"/>
        <s v="2030600090"/>
        <s v="2030600080"/>
        <s v="1040000090"/>
        <s v="1040000110"/>
      </sharedItems>
    </cacheField>
    <cacheField name="Text" numFmtId="0">
      <sharedItems/>
    </cacheField>
    <cacheField name="Cost Center" numFmtId="0">
      <sharedItems/>
    </cacheField>
    <cacheField name="Assignment" numFmtId="0">
      <sharedItems/>
    </cacheField>
    <cacheField name="Branch account" numFmtId="0">
      <sharedItems/>
    </cacheField>
    <cacheField name="Vendor" numFmtId="0">
      <sharedItems/>
    </cacheField>
    <cacheField name="Document Type" numFmtId="0">
      <sharedItems/>
    </cacheField>
    <cacheField name="Net due date symbol" numFmtId="0">
      <sharedItems/>
    </cacheField>
    <cacheField name="Vendor2" numFmtId="0">
      <sharedItems/>
    </cacheField>
    <cacheField name="Cleared/open items symbol" numFmtId="0">
      <sharedItems/>
    </cacheField>
    <cacheField name="Due net" numFmtId="0">
      <sharedItems/>
    </cacheField>
    <cacheField name="Clearing Document" numFmtId="0">
      <sharedItems/>
    </cacheField>
    <cacheField name="General ledger currency" numFmtId="0">
      <sharedItems/>
    </cacheField>
    <cacheField name="Profit Center" numFmtId="0">
      <sharedItems/>
    </cacheField>
    <cacheField name="Sp.G/L trans.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UG10"/>
    <s v="4400000971"/>
    <x v="0"/>
    <d v="2015-05-06T00:00:00"/>
    <s v="10040"/>
    <s v="3418000039"/>
    <n v="-2668324"/>
    <n v="-2668324"/>
    <n v="-790.15"/>
    <s v="USD"/>
    <n v="0"/>
    <d v="2015-12-31T00:00:00"/>
    <s v=""/>
    <s v="UGX"/>
    <x v="0"/>
    <s v="Payable to Vendor as on 31-12-2015"/>
    <s v=""/>
    <s v="4400000971"/>
    <s v=""/>
    <s v="4400000971"/>
    <s v="KR"/>
    <s v=""/>
    <s v="4400000971"/>
    <s v=""/>
    <s v="X"/>
    <s v=""/>
    <s v="UGX"/>
    <s v=""/>
    <s v=""/>
  </r>
  <r>
    <s v="UG10"/>
    <s v="4400001025"/>
    <x v="1"/>
    <d v="2015-12-31T00:00:00"/>
    <s v="31122015"/>
    <s v="3400000033"/>
    <n v="-966631"/>
    <n v="-966631"/>
    <n v="-286.24"/>
    <s v="USD"/>
    <n v="0"/>
    <d v="2015-12-31T00:00:00"/>
    <s v=""/>
    <s v="UGX"/>
    <x v="0"/>
    <s v="Payable to Vendor as on 31-12-2015-151610"/>
    <s v=""/>
    <s v="4400001025"/>
    <s v=""/>
    <s v="4400001025"/>
    <s v="AB"/>
    <s v=""/>
    <s v="4400001025"/>
    <s v=""/>
    <s v="X"/>
    <s v=""/>
    <s v="UGX"/>
    <s v=""/>
    <s v=""/>
  </r>
  <r>
    <s v="UG10"/>
    <s v="4400001025"/>
    <x v="1"/>
    <d v="2015-12-31T00:00:00"/>
    <s v="31122015"/>
    <s v="3400000033"/>
    <n v="-2194557"/>
    <n v="-2194557"/>
    <n v="-649.85"/>
    <s v="USD"/>
    <n v="0"/>
    <d v="2015-12-31T00:00:00"/>
    <s v=""/>
    <s v="UGX"/>
    <x v="0"/>
    <s v="Payable to Vendor as on 31-12-2015-134497"/>
    <s v=""/>
    <s v="4400001025"/>
    <s v=""/>
    <s v="4400001025"/>
    <s v="AB"/>
    <s v=""/>
    <s v="4400001025"/>
    <s v=""/>
    <s v="X"/>
    <s v=""/>
    <s v="UGX"/>
    <s v=""/>
    <s v=""/>
  </r>
  <r>
    <s v="UG10"/>
    <s v="4400001025"/>
    <x v="1"/>
    <d v="2015-12-31T00:00:00"/>
    <s v="31122015"/>
    <s v="3400000033"/>
    <n v="-2133002"/>
    <n v="-2133002"/>
    <n v="-631.63"/>
    <s v="USD"/>
    <n v="0"/>
    <d v="2015-12-31T00:00:00"/>
    <s v=""/>
    <s v="UGX"/>
    <x v="0"/>
    <s v="Payable to Vendor as on 31-12-2015-148752"/>
    <s v=""/>
    <s v="4400001025"/>
    <s v=""/>
    <s v="4400001025"/>
    <s v="AB"/>
    <s v=""/>
    <s v="4400001025"/>
    <s v=""/>
    <s v="X"/>
    <s v=""/>
    <s v="UGX"/>
    <s v=""/>
    <s v=""/>
  </r>
  <r>
    <s v="UG10"/>
    <s v="4400001494"/>
    <x v="2"/>
    <d v="2015-12-31T00:00:00"/>
    <s v="40010"/>
    <s v="3414000009"/>
    <n v="3312"/>
    <n v="11184624"/>
    <n v="3312"/>
    <s v="USD"/>
    <n v="0"/>
    <d v="2015-12-31T00:00:00"/>
    <s v="M"/>
    <s v="UGX"/>
    <x v="1"/>
    <s v="Security bond with Immigration"/>
    <s v=""/>
    <s v="4400001494"/>
    <s v=""/>
    <s v="4400001494"/>
    <s v="KZ"/>
    <s v=""/>
    <s v="4400001494"/>
    <s v=""/>
    <s v=""/>
    <s v=""/>
    <s v="USD"/>
    <s v=""/>
    <s v="A"/>
  </r>
  <r>
    <s v="UG10"/>
    <s v="4400001048"/>
    <x v="3"/>
    <d v="2018-01-23T00:00:00"/>
    <s v=""/>
    <s v="3414000018"/>
    <n v="1000"/>
    <n v="3678130"/>
    <n v="1000"/>
    <s v="USD"/>
    <n v="0"/>
    <d v="2018-03-31T00:00:00"/>
    <s v="N"/>
    <s v="UGX"/>
    <x v="2"/>
    <s v="Adv payment towards security deposit for Shashi ho"/>
    <s v=""/>
    <s v="4400001048"/>
    <s v=""/>
    <s v="4400001048"/>
    <s v="KZ"/>
    <s v=""/>
    <s v="4400001048"/>
    <s v=""/>
    <s v=""/>
    <s v="3400000029"/>
    <s v="USD"/>
    <s v=""/>
    <s v="A"/>
  </r>
  <r>
    <s v="UG10"/>
    <s v="4400001682"/>
    <x v="4"/>
    <d v="2018-04-06T00:00:00"/>
    <s v="28376"/>
    <s v="3425000018"/>
    <n v="-71.52"/>
    <n v="-265444"/>
    <n v="-71.52"/>
    <s v="USD"/>
    <n v="0"/>
    <d v="2018-04-30T00:00:00"/>
    <s v=""/>
    <s v="UGX"/>
    <x v="3"/>
    <s v="Power BI Licenses"/>
    <s v=""/>
    <s v="4400001682"/>
    <s v=""/>
    <s v="4400001682"/>
    <s v="RE"/>
    <s v=""/>
    <s v="4400001682"/>
    <s v=""/>
    <s v="X"/>
    <s v=""/>
    <s v="USD"/>
    <s v=""/>
    <s v=""/>
  </r>
  <r>
    <s v="UG10"/>
    <s v="4400001432"/>
    <x v="5"/>
    <d v="2018-05-18T00:00:00"/>
    <s v="DR5905778"/>
    <s v="3425000071"/>
    <n v="-487.5"/>
    <n v="-1809478"/>
    <n v="-487.5"/>
    <s v="USD"/>
    <n v="0"/>
    <d v="2018-12-31T00:00:00"/>
    <s v=""/>
    <s v="UGX"/>
    <x v="3"/>
    <s v="Cisco (ICDN1)"/>
    <s v=""/>
    <s v="4400001432"/>
    <s v=""/>
    <s v="4400001432"/>
    <s v="RE"/>
    <s v=""/>
    <s v="4400001432"/>
    <s v=""/>
    <s v="X"/>
    <s v=""/>
    <s v="USD"/>
    <s v=""/>
    <s v=""/>
  </r>
  <r>
    <s v="UG10"/>
    <s v="4400004150"/>
    <x v="6"/>
    <d v="2021-06-07T00:00:00"/>
    <s v="IVBF43418638"/>
    <s v="3418000018"/>
    <n v="-4.72"/>
    <n v="-16800"/>
    <n v="-4.72"/>
    <s v="USD"/>
    <n v="0"/>
    <d v="2021-06-30T00:00:00"/>
    <s v=""/>
    <s v="UGX"/>
    <x v="3"/>
    <s v="Envato Buyer Fee for purchase of &quot;Metronic - Boot"/>
    <s v=""/>
    <s v="4400004150"/>
    <s v=""/>
    <s v="4400004150"/>
    <s v="KR"/>
    <s v=""/>
    <s v="4400004150"/>
    <s v=""/>
    <s v="X"/>
    <s v=""/>
    <s v="USD"/>
    <s v=""/>
    <s v=""/>
  </r>
  <r>
    <s v="UG10"/>
    <s v="4400004150"/>
    <x v="6"/>
    <d v="2021-06-07T00:00:00"/>
    <s v="IVBF43418639"/>
    <s v="3418000019"/>
    <n v="-4.72"/>
    <n v="-16800"/>
    <n v="-4.72"/>
    <s v="USD"/>
    <n v="0"/>
    <d v="2021-06-30T00:00:00"/>
    <s v=""/>
    <s v="UGX"/>
    <x v="3"/>
    <s v="Envato Buyer Fee for purchase of &quot;Metronic - Boot"/>
    <s v=""/>
    <s v="4400004150"/>
    <s v=""/>
    <s v="4400004150"/>
    <s v="KR"/>
    <s v=""/>
    <s v="4400004150"/>
    <s v=""/>
    <s v="X"/>
    <s v=""/>
    <s v="USD"/>
    <s v=""/>
    <s v=""/>
  </r>
  <r>
    <s v="UG10"/>
    <s v="4400004150"/>
    <x v="6"/>
    <d v="2021-06-07T00:00:00"/>
    <s v="IVHF26671662"/>
    <s v="3418000020"/>
    <n v="-2.36"/>
    <n v="-8400"/>
    <n v="-2.36"/>
    <s v="USD"/>
    <n v="0"/>
    <d v="2021-06-30T00:00:00"/>
    <s v=""/>
    <s v="UGX"/>
    <x v="3"/>
    <s v="Handling Fee for Envato Market order 147627376"/>
    <s v=""/>
    <s v="4400004150"/>
    <s v=""/>
    <s v="4400004150"/>
    <s v="KR"/>
    <s v=""/>
    <s v="4400004150"/>
    <s v=""/>
    <s v="X"/>
    <s v=""/>
    <s v="USD"/>
    <s v=""/>
    <s v=""/>
  </r>
  <r>
    <s v="UG10"/>
    <s v="4400004150"/>
    <x v="6"/>
    <d v="2021-06-07T00:00:00"/>
    <s v="IVIP43729721"/>
    <s v="3418000021"/>
    <n v="-34.49"/>
    <n v="-122760"/>
    <n v="-34.49"/>
    <s v="USD"/>
    <n v="0"/>
    <d v="2021-06-30T00:00:00"/>
    <s v=""/>
    <s v="UGX"/>
    <x v="3"/>
    <s v="Metronic - Bootstrap 4/5 HTML"/>
    <s v=""/>
    <s v="4400004150"/>
    <s v=""/>
    <s v="4400004150"/>
    <s v="KR"/>
    <s v=""/>
    <s v="4400004150"/>
    <s v=""/>
    <s v="X"/>
    <s v=""/>
    <s v="USD"/>
    <s v=""/>
    <s v=""/>
  </r>
  <r>
    <s v="UG10"/>
    <s v="4400004150"/>
    <x v="6"/>
    <d v="2021-06-07T00:00:00"/>
    <s v="IVIP43729722"/>
    <s v="3418000022"/>
    <n v="-34.49"/>
    <n v="-122760"/>
    <n v="-34.49"/>
    <s v="USD"/>
    <n v="0"/>
    <d v="2021-06-30T00:00:00"/>
    <s v=""/>
    <s v="UGX"/>
    <x v="3"/>
    <s v="Metronic - Bootstrap 4/5 HTML"/>
    <s v=""/>
    <s v="4400004150"/>
    <s v=""/>
    <s v="4400004150"/>
    <s v="KR"/>
    <s v=""/>
    <s v="4400004150"/>
    <s v=""/>
    <s v="X"/>
    <s v=""/>
    <s v="USD"/>
    <s v=""/>
    <s v=""/>
  </r>
  <r>
    <s v="UG10"/>
    <s v="4400004285"/>
    <x v="7"/>
    <d v="2021-10-18T00:00:00"/>
    <s v="2219910224521800"/>
    <s v="3418000036"/>
    <n v="-2449199"/>
    <n v="-2449199"/>
    <n v="-675"/>
    <s v="USD"/>
    <n v="0"/>
    <d v="2021-10-24T00:00:00"/>
    <s v=""/>
    <s v="UGX"/>
    <x v="0"/>
    <s v="HEALTH/MEDICALinsurance per annum"/>
    <s v=""/>
    <s v="4400004285"/>
    <s v=""/>
    <s v="4400004285"/>
    <s v="KR"/>
    <s v=""/>
    <s v="4400004285"/>
    <s v=""/>
    <s v="X"/>
    <s v=""/>
    <s v="UGX"/>
    <s v=""/>
    <s v=""/>
  </r>
  <r>
    <s v="UG10"/>
    <s v="4400004400"/>
    <x v="8"/>
    <d v="2022-02-11T00:00:00"/>
    <s v=""/>
    <s v="3414000019"/>
    <n v="1000"/>
    <n v="3560000"/>
    <n v="1000"/>
    <s v="USD"/>
    <n v="0"/>
    <d v="2022-02-11T00:00:00"/>
    <s v="N"/>
    <s v="UGX"/>
    <x v="2"/>
    <s v="Security Deposit"/>
    <s v=""/>
    <s v="4400004400"/>
    <s v=""/>
    <s v="4400004400"/>
    <s v="KZ"/>
    <s v=""/>
    <s v="4400004400"/>
    <s v=""/>
    <s v=""/>
    <s v=""/>
    <s v="USD"/>
    <s v=""/>
    <s v="A"/>
  </r>
  <r>
    <s v="UG10"/>
    <s v="4400004285"/>
    <x v="7"/>
    <d v="2022-03-07T00:00:00"/>
    <s v="121431155311"/>
    <s v="3418000012"/>
    <n v="-3379034"/>
    <n v="-3379034"/>
    <n v="-938.7"/>
    <s v="USD"/>
    <n v="0"/>
    <d v="2022-03-24T00:00:00"/>
    <s v=""/>
    <s v="UGX"/>
    <x v="0"/>
    <s v="Health insurance October 2021 to Sept 2022"/>
    <s v=""/>
    <s v="4400004285"/>
    <s v=""/>
    <s v="4400004285"/>
    <s v="KR"/>
    <s v=""/>
    <s v="4400004285"/>
    <s v=""/>
    <s v="X"/>
    <s v=""/>
    <s v="UGX"/>
    <s v=""/>
    <s v=""/>
  </r>
  <r>
    <s v="UG10"/>
    <s v="410073"/>
    <x v="9"/>
    <d v="2022-05-04T00:00:00"/>
    <s v="LOAN"/>
    <s v="3400000161"/>
    <n v="6629200"/>
    <n v="6629200"/>
    <n v="1864.04"/>
    <s v="USD"/>
    <n v="0"/>
    <d v="2022-05-04T00:00:00"/>
    <s v="L"/>
    <s v="UGX"/>
    <x v="4"/>
    <s v="Shashi School Fees _ KAASHVI SHASHIDHAR _Term 3 Ye"/>
    <s v=""/>
    <s v="0000410073"/>
    <s v=""/>
    <s v="410073"/>
    <s v="SA"/>
    <s v=""/>
    <s v="410073"/>
    <s v=""/>
    <s v=""/>
    <s v="3400000278"/>
    <s v="UGX"/>
    <s v=""/>
    <s v="A"/>
  </r>
  <r>
    <s v="UG10"/>
    <s v="410073"/>
    <x v="9"/>
    <d v="2022-05-04T00:00:00"/>
    <s v="LOAN"/>
    <s v="3400000161"/>
    <n v="4978100"/>
    <n v="4978100"/>
    <n v="1399.77"/>
    <s v="USD"/>
    <n v="0"/>
    <d v="2022-05-04T00:00:00"/>
    <s v="L"/>
    <s v="UGX"/>
    <x v="4"/>
    <s v="Shashi School Fees _JANYUH SHASHIDHAR_ Term 3 Year"/>
    <s v=""/>
    <s v="0000410073"/>
    <s v=""/>
    <s v="410073"/>
    <s v="SA"/>
    <s v=""/>
    <s v="410073"/>
    <s v=""/>
    <s v=""/>
    <s v="3400000278"/>
    <s v="UGX"/>
    <s v=""/>
    <s v="A"/>
  </r>
  <r>
    <s v="UG10"/>
    <s v="410073"/>
    <x v="9"/>
    <d v="2022-08-18T00:00:00"/>
    <s v="ADVANCE PAYMENT"/>
    <s v="3400000307"/>
    <n v="9936075"/>
    <n v="9936075"/>
    <n v="2563.79"/>
    <s v="USD"/>
    <n v="0"/>
    <d v="2022-08-18T00:00:00"/>
    <s v="C"/>
    <s v="UGX"/>
    <x v="5"/>
    <s v="adv pmt Shashi School Fees _ KAASHVI _Term 1 Year"/>
    <s v=""/>
    <s v="0000410073"/>
    <s v=""/>
    <s v="410073"/>
    <s v="SA"/>
    <s v=""/>
    <s v="410073"/>
    <s v=""/>
    <s v=""/>
    <s v="3400000278"/>
    <s v="UGX"/>
    <s v=""/>
    <s v="A"/>
  </r>
  <r>
    <s v="UG10"/>
    <s v="410073"/>
    <x v="9"/>
    <d v="2022-08-18T00:00:00"/>
    <s v="ADVANCE PAYMENT"/>
    <s v="3400000307"/>
    <n v="4730450"/>
    <n v="4730450"/>
    <n v="1220.5899999999999"/>
    <s v="USD"/>
    <n v="0"/>
    <d v="2022-08-18T00:00:00"/>
    <s v="C"/>
    <s v="UGX"/>
    <x v="5"/>
    <s v="adv pmt Shashi School Fees _ Janyuh _Term 1 Year 4"/>
    <s v=""/>
    <s v="0000410073"/>
    <s v=""/>
    <s v="410073"/>
    <s v="SA"/>
    <s v=""/>
    <s v="410073"/>
    <s v=""/>
    <s v=""/>
    <s v="3400000278"/>
    <s v="UGX"/>
    <s v=""/>
    <s v="A"/>
  </r>
  <r>
    <s v="UG10"/>
    <s v="410073"/>
    <x v="9"/>
    <d v="2023-03-20T00:00:00"/>
    <s v=""/>
    <s v="3400000056"/>
    <n v="9925300"/>
    <n v="9925300"/>
    <n v="2649.34"/>
    <s v="USD"/>
    <n v="0"/>
    <d v="2023-03-20T00:00:00"/>
    <s v="C"/>
    <s v="UGX"/>
    <x v="5"/>
    <s v="Adv pmt-Shashi School Fees _ KAASHVI -Term 2 Year"/>
    <s v=""/>
    <s v="0000410073"/>
    <s v=""/>
    <s v="410073"/>
    <s v="AB"/>
    <s v=""/>
    <s v="410073"/>
    <s v=""/>
    <s v=""/>
    <s v="3400000278"/>
    <s v="UGX"/>
    <s v=""/>
    <s v="A"/>
  </r>
  <r>
    <s v="UG10"/>
    <s v="410073"/>
    <x v="9"/>
    <d v="2023-03-20T00:00:00"/>
    <s v=""/>
    <s v="3400000057"/>
    <n v="4729300"/>
    <n v="4729300"/>
    <n v="1262.3800000000001"/>
    <s v="USD"/>
    <n v="0"/>
    <d v="2023-03-20T00:00:00"/>
    <s v="C"/>
    <s v="UGX"/>
    <x v="5"/>
    <s v="Adv pmt-Shashi School Fees _ Janyuh-Term 2 Year 4"/>
    <s v=""/>
    <s v="0000410073"/>
    <s v=""/>
    <s v="410073"/>
    <s v="AB"/>
    <s v=""/>
    <s v="410073"/>
    <s v=""/>
    <s v=""/>
    <s v="3400000278"/>
    <s v="UGX"/>
    <s v=""/>
    <s v="A"/>
  </r>
  <r>
    <s v="UG10"/>
    <s v="410073"/>
    <x v="9"/>
    <d v="2023-04-12T00:00:00"/>
    <s v="SHASHI SCHOOL FE"/>
    <s v="3400000086"/>
    <n v="4978150"/>
    <n v="4978150"/>
    <n v="1331.07"/>
    <s v="USD"/>
    <n v="0"/>
    <d v="2023-04-12T00:00:00"/>
    <s v="C"/>
    <s v="UGX"/>
    <x v="5"/>
    <s v="Shashi School Fees _JANYUH SHASHIDHAR_ Term 3 Year"/>
    <s v=""/>
    <s v="0000410073"/>
    <s v=""/>
    <s v="410073"/>
    <s v="SA"/>
    <s v=""/>
    <s v="410073"/>
    <s v=""/>
    <s v=""/>
    <s v="3400000278"/>
    <s v="UGX"/>
    <s v=""/>
    <s v="A"/>
  </r>
  <r>
    <s v="UG10"/>
    <s v="4400004557"/>
    <x v="10"/>
    <d v="2024-02-19T00:00:00"/>
    <s v="DEPOSIT&amp;RENT PMT"/>
    <s v="3400000044"/>
    <n v="1985"/>
    <n v="7642250"/>
    <n v="1985"/>
    <s v="USD"/>
    <n v="0"/>
    <d v="2024-02-19T00:00:00"/>
    <s v="N"/>
    <s v="UGX"/>
    <x v="2"/>
    <s v="Security Deposit  for New Office space "/>
    <s v=""/>
    <s v="4400004557"/>
    <s v=""/>
    <s v="4400004557"/>
    <s v="SA"/>
    <s v=""/>
    <s v="4400004557"/>
    <s v=""/>
    <s v=""/>
    <s v=""/>
    <s v="USD"/>
    <s v=""/>
    <s v="A"/>
  </r>
  <r>
    <s v="UG10"/>
    <s v="410073"/>
    <x v="9"/>
    <d v="2024-11-01T00:00:00"/>
    <s v="ADV PMT"/>
    <s v="3400000433"/>
    <n v="14616000"/>
    <n v="14616000"/>
    <n v="3992.8"/>
    <s v="USD"/>
    <n v="0"/>
    <d v="2024-11-01T00:00:00"/>
    <s v="T"/>
    <s v="UGX"/>
    <x v="6"/>
    <s v="Travel adv Nairobi for Min of FinanceTrain-shashi"/>
    <s v=""/>
    <s v="0000410073"/>
    <s v=""/>
    <s v="410073"/>
    <s v="SA"/>
    <s v=""/>
    <s v="410073"/>
    <s v=""/>
    <s v=""/>
    <s v=""/>
    <s v="UGX"/>
    <s v=""/>
    <s v="A"/>
  </r>
  <r>
    <s v="UG10"/>
    <s v="4400000983"/>
    <x v="11"/>
    <d v="2024-11-01T00:00:00"/>
    <s v="124950870955"/>
    <s v="3418000041"/>
    <n v="-456006"/>
    <n v="-456006"/>
    <n v="-124.57"/>
    <s v="USD"/>
    <n v="0"/>
    <d v="2024-11-01T00:00:00"/>
    <s v=""/>
    <s v="UGX"/>
    <x v="0"/>
    <s v="Mobile e xp oct 24"/>
    <s v=""/>
    <s v="4400000983"/>
    <s v=""/>
    <s v="4400000983"/>
    <s v="KR"/>
    <s v=""/>
    <s v="4400000983"/>
    <s v=""/>
    <s v="X"/>
    <s v="3414000052"/>
    <s v="UGX"/>
    <s v=""/>
    <s v=""/>
  </r>
  <r>
    <s v="UG10"/>
    <s v="410073"/>
    <x v="9"/>
    <d v="2024-11-20T00:00:00"/>
    <s v="SALARY ADVANCE"/>
    <s v="3400000396"/>
    <n v="10000000"/>
    <n v="10000000"/>
    <n v="2716.48"/>
    <s v="USD"/>
    <n v="0"/>
    <d v="2024-11-20T00:00:00"/>
    <s v="E"/>
    <s v="UGX"/>
    <x v="7"/>
    <s v="Shashi Salary advance##to be recoved till OCT24"/>
    <s v=""/>
    <s v="0000410073"/>
    <s v=""/>
    <s v="410073"/>
    <s v="AB"/>
    <s v=""/>
    <s v="410073"/>
    <s v=""/>
    <s v=""/>
    <s v="3400000279"/>
    <s v="UGX"/>
    <s v=""/>
    <s v="A"/>
  </r>
  <r>
    <s v="UG10"/>
    <s v="410073"/>
    <x v="9"/>
    <d v="2024-11-20T00:00:00"/>
    <s v=""/>
    <s v="3400000397"/>
    <n v="10827140"/>
    <n v="10827140"/>
    <n v="2941.17"/>
    <s v="USD"/>
    <n v="0"/>
    <d v="2024-11-20T00:00:00"/>
    <s v="T"/>
    <s v="UGX"/>
    <x v="6"/>
    <s v="AdvNairobi Travel expenses_ MOF training-shashidar"/>
    <s v=""/>
    <s v="0000410073"/>
    <s v=""/>
    <s v="410073"/>
    <s v="AB"/>
    <s v=""/>
    <s v="410073"/>
    <s v=""/>
    <s v=""/>
    <s v=""/>
    <s v="UGX"/>
    <s v=""/>
    <s v="A"/>
  </r>
  <r>
    <s v="UG10"/>
    <s v="410073"/>
    <x v="9"/>
    <d v="2024-11-20T00:00:00"/>
    <s v=""/>
    <s v="3400000398"/>
    <n v="-9445"/>
    <n v="-9445"/>
    <n v="-2.57"/>
    <s v="USD"/>
    <n v="0"/>
    <d v="2024-11-20T00:00:00"/>
    <s v=""/>
    <s v="UGX"/>
    <x v="8"/>
    <s v="Staff Travel advance Shashi while travelling to In"/>
    <s v=""/>
    <s v="0000410073"/>
    <s v=""/>
    <s v="410073"/>
    <s v="AB"/>
    <s v=""/>
    <s v="410073"/>
    <s v=""/>
    <s v="X"/>
    <s v=""/>
    <s v="UGX"/>
    <s v=""/>
    <s v=""/>
  </r>
  <r>
    <s v="UG10"/>
    <s v="410073"/>
    <x v="9"/>
    <d v="2024-11-20T00:00:00"/>
    <s v=""/>
    <s v="3400000399"/>
    <n v="-555452"/>
    <n v="-555452"/>
    <n v="-150.88999999999999"/>
    <s v="USD"/>
    <n v="0"/>
    <d v="2024-11-20T00:00:00"/>
    <s v=""/>
    <s v="UGX"/>
    <x v="8"/>
    <s v="Staff Travel Advance Shashi"/>
    <s v=""/>
    <s v="0000410073"/>
    <s v=""/>
    <s v="410073"/>
    <s v="AB"/>
    <s v=""/>
    <s v="410073"/>
    <s v=""/>
    <s v="X"/>
    <s v=""/>
    <s v="UGX"/>
    <s v=""/>
    <s v=""/>
  </r>
  <r>
    <s v="UG10"/>
    <s v="410073"/>
    <x v="9"/>
    <d v="2024-11-20T00:00:00"/>
    <s v=""/>
    <s v="3400000400"/>
    <n v="82520"/>
    <n v="82520"/>
    <n v="22.42"/>
    <s v="USD"/>
    <n v="0"/>
    <d v="2024-11-20T00:00:00"/>
    <s v="E"/>
    <s v="UGX"/>
    <x v="7"/>
    <s v="Staff Travel Advance Shashi"/>
    <s v=""/>
    <s v="0000410073"/>
    <s v=""/>
    <s v="410073"/>
    <s v="AB"/>
    <s v=""/>
    <s v="410073"/>
    <s v=""/>
    <s v=""/>
    <s v=""/>
    <s v="UGX"/>
    <s v=""/>
    <s v="A"/>
  </r>
  <r>
    <s v="UG10"/>
    <s v="410073"/>
    <x v="9"/>
    <d v="2024-11-20T00:00:00"/>
    <s v=""/>
    <s v="3400000401"/>
    <n v="-30872"/>
    <n v="-30872"/>
    <n v="-8.39"/>
    <s v="USD"/>
    <n v="0"/>
    <d v="2024-11-20T00:00:00"/>
    <s v=""/>
    <s v="UGX"/>
    <x v="8"/>
    <s v="Food exp claim from shahsidar"/>
    <s v=""/>
    <s v="0000410073"/>
    <s v=""/>
    <s v="410073"/>
    <s v="AB"/>
    <s v=""/>
    <s v="410073"/>
    <s v=""/>
    <s v="X"/>
    <s v=""/>
    <s v="UGX"/>
    <s v=""/>
    <s v=""/>
  </r>
  <r>
    <s v="UG10"/>
    <s v="410073"/>
    <x v="9"/>
    <d v="2024-11-20T00:00:00"/>
    <s v=""/>
    <s v="3400000402"/>
    <n v="72401"/>
    <n v="72401"/>
    <n v="19.670000000000002"/>
    <s v="USD"/>
    <n v="0"/>
    <d v="2024-11-20T00:00:00"/>
    <s v=""/>
    <s v="UGX"/>
    <x v="8"/>
    <s v="Shashi refund for Expenses"/>
    <s v=""/>
    <s v="0000410073"/>
    <s v=""/>
    <s v="410073"/>
    <s v="AB"/>
    <s v=""/>
    <s v="410073"/>
    <s v=""/>
    <s v="X"/>
    <s v=""/>
    <s v="UGX"/>
    <s v=""/>
    <s v=""/>
  </r>
  <r>
    <s v="UG10"/>
    <s v="410073"/>
    <x v="9"/>
    <d v="2024-11-20T00:00:00"/>
    <s v=""/>
    <s v="3400000403"/>
    <n v="1013249"/>
    <n v="1013249"/>
    <n v="275.25"/>
    <s v="USD"/>
    <n v="0"/>
    <d v="2024-11-20T00:00:00"/>
    <s v=""/>
    <s v="UGX"/>
    <x v="8"/>
    <s v="Shashi refund for Expenses"/>
    <s v=""/>
    <s v="0000410073"/>
    <s v=""/>
    <s v="410073"/>
    <s v="AB"/>
    <s v=""/>
    <s v="410073"/>
    <s v=""/>
    <s v="X"/>
    <s v=""/>
    <s v="UGX"/>
    <s v=""/>
    <s v=""/>
  </r>
  <r>
    <s v="UG10"/>
    <s v="410073"/>
    <x v="9"/>
    <d v="2024-11-20T00:00:00"/>
    <s v="NBO TRAINING"/>
    <s v="3400000430"/>
    <n v="-22199847"/>
    <n v="-22199847"/>
    <n v="-6016.59"/>
    <s v="USD"/>
    <n v="0"/>
    <d v="2024-11-20T00:00:00"/>
    <s v=""/>
    <s v="UGX"/>
    <x v="8"/>
    <s v="Shashidhar claim for NBO frontend training"/>
    <s v=""/>
    <s v="0000410073"/>
    <s v=""/>
    <s v="410073"/>
    <s v="SA"/>
    <s v=""/>
    <s v="410073"/>
    <s v=""/>
    <s v="X"/>
    <s v=""/>
    <s v="UGX"/>
    <s v=""/>
    <s v=""/>
  </r>
  <r>
    <s v="UG10"/>
    <s v="4400004555"/>
    <x v="12"/>
    <d v="2024-11-25T00:00:00"/>
    <s v="LTL/00468/2022"/>
    <s v="3425000026"/>
    <n v="-12274.5"/>
    <n v="-45276703"/>
    <n v="-12274.5"/>
    <s v="USD"/>
    <n v="0"/>
    <d v="2024-11-30T00:00:00"/>
    <s v=""/>
    <s v="UGX"/>
    <x v="9"/>
    <s v="Front end training 28oct-15 Nov 24"/>
    <s v=""/>
    <s v="4400004555"/>
    <s v=""/>
    <s v="4400004555"/>
    <s v="RE"/>
    <s v=""/>
    <s v="4400004555"/>
    <s v=""/>
    <s v="X"/>
    <s v="3400000031"/>
    <s v="USD"/>
    <s v=""/>
    <s v=""/>
  </r>
  <r>
    <s v="UG10"/>
    <s v="410073"/>
    <x v="9"/>
    <d v="2024-11-29T00:00:00"/>
    <s v="PAYROLL NOV 24"/>
    <s v="3400000416"/>
    <n v="-2500000"/>
    <n v="-2500000"/>
    <n v="-677.66"/>
    <s v="USD"/>
    <n v="0"/>
    <d v="2024-11-29T00:00:00"/>
    <s v="E"/>
    <s v="UGX"/>
    <x v="7"/>
    <s v="Nov 2024 - Salary Advance  - Recovered"/>
    <s v=""/>
    <s v="0000410073"/>
    <s v=""/>
    <s v="410073"/>
    <s v="SA"/>
    <s v=""/>
    <s v="410073"/>
    <s v=""/>
    <s v="X"/>
    <s v="3400000279"/>
    <s v="UGX"/>
    <s v=""/>
    <s v="A"/>
  </r>
  <r>
    <s v="UG10"/>
    <s v="4400000983"/>
    <x v="11"/>
    <d v="2024-12-01T00:00:00"/>
    <s v="950000007596488"/>
    <s v="3418000042"/>
    <n v="-300128"/>
    <n v="-300128"/>
    <n v="-81.36"/>
    <s v="USD"/>
    <n v="0"/>
    <d v="2024-12-01T00:00:00"/>
    <s v=""/>
    <s v="UGX"/>
    <x v="0"/>
    <s v="Mobile e xp Nov 24"/>
    <s v=""/>
    <s v="4400000983"/>
    <s v=""/>
    <s v="4400000983"/>
    <s v="KR"/>
    <s v=""/>
    <s v="4400000983"/>
    <s v=""/>
    <s v=""/>
    <s v="3414000052"/>
    <s v="UGX"/>
    <s v=""/>
    <s v=""/>
  </r>
  <r>
    <s v="UG10"/>
    <s v="410073"/>
    <x v="9"/>
    <d v="2024-12-19T00:00:00"/>
    <s v="PAYROLL DEC 2024"/>
    <s v="3400000457"/>
    <n v="-2500000"/>
    <n v="-2500000"/>
    <n v="-687.2"/>
    <s v="USD"/>
    <n v="0"/>
    <d v="2024-12-19T00:00:00"/>
    <s v="E"/>
    <s v="UGX"/>
    <x v="7"/>
    <s v="Dec 2024 - Salary Advance  - Recovered"/>
    <s v=""/>
    <s v="0000410073"/>
    <s v=""/>
    <s v="410073"/>
    <s v="SA"/>
    <s v=""/>
    <s v="410073"/>
    <s v=""/>
    <s v="X"/>
    <s v="3400000279"/>
    <s v="UGX"/>
    <s v=""/>
    <s v="A"/>
  </r>
  <r>
    <s v="UG10"/>
    <s v="4400004537"/>
    <x v="13"/>
    <d v="2024-12-31T00:00:00"/>
    <s v=""/>
    <s v="3400000489"/>
    <n v="125.92"/>
    <n v="606142"/>
    <n v="125.92"/>
    <s v="USD"/>
    <n v="0"/>
    <d v="2024-12-31T00:00:00"/>
    <s v="N"/>
    <s v="UGX"/>
    <x v="2"/>
    <s v="Yet to recieve from rumee VAT amount"/>
    <s v=""/>
    <s v="4400004537"/>
    <s v=""/>
    <s v="4400004537"/>
    <s v="AB"/>
    <s v=""/>
    <s v="4400004537"/>
    <s v=""/>
    <s v=""/>
    <s v=""/>
    <s v="USD"/>
    <s v=""/>
    <s v="A"/>
  </r>
  <r>
    <s v="UG10"/>
    <s v="410008"/>
    <x v="14"/>
    <d v="2024-12-31T00:00:00"/>
    <s v=""/>
    <s v="3400000497"/>
    <n v="-735"/>
    <n v="-2717192"/>
    <n v="-735"/>
    <s v="USD"/>
    <n v="0"/>
    <d v="2024-12-31T00:00:00"/>
    <s v=""/>
    <s v="UGX"/>
    <x v="8"/>
    <s v="Malawi trip joseph oketch claim 16th Oct 24th Nov"/>
    <s v=""/>
    <s v="0000410008"/>
    <s v=""/>
    <s v="410008"/>
    <s v="AB"/>
    <s v=""/>
    <s v="410008"/>
    <s v=""/>
    <s v=""/>
    <s v="3414000002"/>
    <s v="USD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D079F-BF76-4A44-A857-C00F435BFC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0" firstHeaderRow="1" firstDataRow="2" firstDataCol="1"/>
  <pivotFields count="29">
    <pivotField showAll="0"/>
    <pivotField showAll="0"/>
    <pivotField axis="axisRow" showAll="0">
      <items count="16">
        <item x="0"/>
        <item x="11"/>
        <item x="5"/>
        <item x="6"/>
        <item x="1"/>
        <item x="12"/>
        <item x="8"/>
        <item x="2"/>
        <item x="3"/>
        <item x="14"/>
        <item x="4"/>
        <item x="13"/>
        <item x="9"/>
        <item x="10"/>
        <item x="7"/>
        <item t="default"/>
      </items>
    </pivotField>
    <pivotField numFmtId="14" showAll="0"/>
    <pivotField showAll="0"/>
    <pivotField showAll="0"/>
    <pivotField showAll="0"/>
    <pivotField dataField="1" numFmtId="3" showAll="0"/>
    <pivotField numFmtId="4" showAll="0"/>
    <pivotField showAll="0"/>
    <pivotField numFmtId="4" showAll="0"/>
    <pivotField numFmtId="14" showAll="0"/>
    <pivotField showAll="0"/>
    <pivotField showAll="0"/>
    <pivotField axis="axisCol" showAll="0">
      <items count="11">
        <item x="0"/>
        <item x="8"/>
        <item x="3"/>
        <item x="9"/>
        <item x="2"/>
        <item x="5"/>
        <item x="1"/>
        <item x="7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in local currency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workbookViewId="0">
      <selection activeCell="I60" sqref="I60"/>
    </sheetView>
  </sheetViews>
  <sheetFormatPr defaultRowHeight="12.5" x14ac:dyDescent="0.25"/>
  <cols>
    <col min="1" max="1" width="14" bestFit="1" customWidth="1"/>
    <col min="2" max="2" width="12" bestFit="1" customWidth="1"/>
    <col min="3" max="3" width="37" bestFit="1" customWidth="1"/>
    <col min="4" max="4" width="15" bestFit="1" customWidth="1"/>
    <col min="5" max="5" width="18" bestFit="1" customWidth="1"/>
    <col min="6" max="6" width="17" bestFit="1" customWidth="1"/>
    <col min="7" max="8" width="11" bestFit="1" customWidth="1"/>
    <col min="9" max="9" width="19" bestFit="1" customWidth="1"/>
    <col min="10" max="10" width="5" bestFit="1" customWidth="1"/>
    <col min="11" max="11" width="6" bestFit="1" customWidth="1"/>
    <col min="12" max="12" width="14" bestFit="1" customWidth="1"/>
    <col min="13" max="13" width="11" bestFit="1" customWidth="1"/>
    <col min="14" max="14" width="5" bestFit="1" customWidth="1"/>
    <col min="15" max="15" width="13" bestFit="1" customWidth="1"/>
    <col min="16" max="16" width="52" bestFit="1" customWidth="1"/>
    <col min="17" max="17" width="13" bestFit="1" customWidth="1"/>
    <col min="18" max="18" width="12" bestFit="1" customWidth="1"/>
    <col min="19" max="19" width="16" bestFit="1" customWidth="1"/>
    <col min="20" max="20" width="12" bestFit="1" customWidth="1"/>
    <col min="21" max="21" width="10" bestFit="1" customWidth="1"/>
    <col min="22" max="22" width="13" bestFit="1" customWidth="1"/>
    <col min="23" max="23" width="12" bestFit="1" customWidth="1"/>
    <col min="24" max="24" width="16" bestFit="1" customWidth="1"/>
    <col min="25" max="25" width="9" bestFit="1" customWidth="1"/>
    <col min="26" max="26" width="19" bestFit="1" customWidth="1"/>
    <col min="27" max="28" width="15" bestFit="1" customWidth="1"/>
    <col min="29" max="29" width="11" bestFit="1" customWidth="1"/>
  </cols>
  <sheetData>
    <row r="1" spans="1:29" ht="50" x14ac:dyDescent="0.25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0" t="s">
        <v>169</v>
      </c>
      <c r="H1" s="10" t="s">
        <v>170</v>
      </c>
      <c r="I1" s="1" t="s">
        <v>171</v>
      </c>
      <c r="J1" s="10" t="s">
        <v>172</v>
      </c>
      <c r="K1" s="10" t="s">
        <v>173</v>
      </c>
      <c r="L1" s="1" t="s">
        <v>174</v>
      </c>
      <c r="M1" s="10" t="s">
        <v>175</v>
      </c>
      <c r="N1" s="10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0" t="s">
        <v>183</v>
      </c>
      <c r="V1" s="10" t="s">
        <v>184</v>
      </c>
      <c r="W1" s="1" t="s">
        <v>182</v>
      </c>
      <c r="X1" s="10" t="s">
        <v>185</v>
      </c>
      <c r="Y1" s="1" t="s">
        <v>186</v>
      </c>
      <c r="Z1" s="1" t="s">
        <v>187</v>
      </c>
      <c r="AA1" s="10" t="s">
        <v>188</v>
      </c>
      <c r="AB1" s="1" t="s">
        <v>189</v>
      </c>
      <c r="AC1" s="10" t="s">
        <v>190</v>
      </c>
    </row>
    <row r="2" spans="1:29" ht="14.15" customHeight="1" x14ac:dyDescent="0.25">
      <c r="A2" t="s">
        <v>0</v>
      </c>
      <c r="B2" t="s">
        <v>1</v>
      </c>
      <c r="C2" t="s">
        <v>2</v>
      </c>
      <c r="D2" s="2">
        <v>42130</v>
      </c>
      <c r="E2" t="s">
        <v>3</v>
      </c>
      <c r="F2" t="s">
        <v>4</v>
      </c>
      <c r="G2" s="3">
        <v>-2668324</v>
      </c>
      <c r="H2" s="3">
        <v>-2668324</v>
      </c>
      <c r="I2" s="4">
        <v>-790.15</v>
      </c>
      <c r="J2" t="s">
        <v>5</v>
      </c>
      <c r="K2" s="4">
        <v>0</v>
      </c>
      <c r="L2" s="2">
        <v>42369</v>
      </c>
      <c r="M2" t="s">
        <v>6</v>
      </c>
      <c r="N2" t="s">
        <v>7</v>
      </c>
      <c r="O2" s="14">
        <v>1040000010</v>
      </c>
      <c r="P2" t="s">
        <v>9</v>
      </c>
      <c r="Q2" t="s">
        <v>6</v>
      </c>
      <c r="R2" t="s">
        <v>1</v>
      </c>
      <c r="S2" t="s">
        <v>6</v>
      </c>
      <c r="T2" t="s">
        <v>1</v>
      </c>
      <c r="U2" t="s">
        <v>10</v>
      </c>
      <c r="V2" s="5" t="s">
        <v>6</v>
      </c>
      <c r="W2" t="s">
        <v>1</v>
      </c>
      <c r="X2" s="5" t="s">
        <v>6</v>
      </c>
      <c r="Y2" t="s">
        <v>11</v>
      </c>
      <c r="Z2" t="s">
        <v>6</v>
      </c>
      <c r="AA2" t="s">
        <v>7</v>
      </c>
      <c r="AB2" t="s">
        <v>6</v>
      </c>
      <c r="AC2" t="s">
        <v>6</v>
      </c>
    </row>
    <row r="3" spans="1:29" ht="14.15" customHeight="1" x14ac:dyDescent="0.25">
      <c r="A3" t="s">
        <v>0</v>
      </c>
      <c r="B3" t="s">
        <v>12</v>
      </c>
      <c r="C3" t="s">
        <v>13</v>
      </c>
      <c r="D3" s="2">
        <v>42369</v>
      </c>
      <c r="E3" t="s">
        <v>14</v>
      </c>
      <c r="F3" t="s">
        <v>15</v>
      </c>
      <c r="G3" s="3">
        <v>-966631</v>
      </c>
      <c r="H3" s="3">
        <v>-966631</v>
      </c>
      <c r="I3" s="4">
        <v>-286.24</v>
      </c>
      <c r="J3" t="s">
        <v>5</v>
      </c>
      <c r="K3" s="4">
        <v>0</v>
      </c>
      <c r="L3" s="2">
        <v>42369</v>
      </c>
      <c r="M3" t="s">
        <v>6</v>
      </c>
      <c r="N3" t="s">
        <v>7</v>
      </c>
      <c r="O3" s="14">
        <v>1040000010</v>
      </c>
      <c r="P3" t="s">
        <v>16</v>
      </c>
      <c r="Q3" t="s">
        <v>6</v>
      </c>
      <c r="R3" t="s">
        <v>12</v>
      </c>
      <c r="S3" t="s">
        <v>6</v>
      </c>
      <c r="T3" t="s">
        <v>12</v>
      </c>
      <c r="U3" t="s">
        <v>17</v>
      </c>
      <c r="V3" s="5" t="s">
        <v>6</v>
      </c>
      <c r="W3" t="s">
        <v>12</v>
      </c>
      <c r="X3" s="5" t="s">
        <v>6</v>
      </c>
      <c r="Y3" t="s">
        <v>11</v>
      </c>
      <c r="Z3" t="s">
        <v>6</v>
      </c>
      <c r="AA3" t="s">
        <v>7</v>
      </c>
      <c r="AB3" t="s">
        <v>6</v>
      </c>
      <c r="AC3" t="s">
        <v>6</v>
      </c>
    </row>
    <row r="4" spans="1:29" ht="14.15" customHeight="1" x14ac:dyDescent="0.25">
      <c r="A4" t="s">
        <v>0</v>
      </c>
      <c r="B4" t="s">
        <v>12</v>
      </c>
      <c r="C4" t="s">
        <v>13</v>
      </c>
      <c r="D4" s="2">
        <v>42369</v>
      </c>
      <c r="E4" t="s">
        <v>14</v>
      </c>
      <c r="F4" t="s">
        <v>15</v>
      </c>
      <c r="G4" s="3">
        <v>-2194557</v>
      </c>
      <c r="H4" s="3">
        <v>-2194557</v>
      </c>
      <c r="I4" s="4">
        <v>-649.85</v>
      </c>
      <c r="J4" t="s">
        <v>5</v>
      </c>
      <c r="K4" s="4">
        <v>0</v>
      </c>
      <c r="L4" s="2">
        <v>42369</v>
      </c>
      <c r="M4" t="s">
        <v>6</v>
      </c>
      <c r="N4" t="s">
        <v>7</v>
      </c>
      <c r="O4" s="14">
        <v>1040000010</v>
      </c>
      <c r="P4" t="s">
        <v>18</v>
      </c>
      <c r="Q4" t="s">
        <v>6</v>
      </c>
      <c r="R4" t="s">
        <v>12</v>
      </c>
      <c r="S4" t="s">
        <v>6</v>
      </c>
      <c r="T4" t="s">
        <v>12</v>
      </c>
      <c r="U4" t="s">
        <v>17</v>
      </c>
      <c r="V4" s="5" t="s">
        <v>6</v>
      </c>
      <c r="W4" t="s">
        <v>12</v>
      </c>
      <c r="X4" s="5" t="s">
        <v>6</v>
      </c>
      <c r="Y4" t="s">
        <v>11</v>
      </c>
      <c r="Z4" t="s">
        <v>6</v>
      </c>
      <c r="AA4" t="s">
        <v>7</v>
      </c>
      <c r="AB4" t="s">
        <v>6</v>
      </c>
      <c r="AC4" t="s">
        <v>6</v>
      </c>
    </row>
    <row r="5" spans="1:29" ht="14.15" customHeight="1" x14ac:dyDescent="0.25">
      <c r="A5" t="s">
        <v>0</v>
      </c>
      <c r="B5" t="s">
        <v>12</v>
      </c>
      <c r="C5" t="s">
        <v>13</v>
      </c>
      <c r="D5" s="2">
        <v>42369</v>
      </c>
      <c r="E5" t="s">
        <v>14</v>
      </c>
      <c r="F5" t="s">
        <v>15</v>
      </c>
      <c r="G5" s="3">
        <v>-2133002</v>
      </c>
      <c r="H5" s="3">
        <v>-2133002</v>
      </c>
      <c r="I5" s="4">
        <v>-631.63</v>
      </c>
      <c r="J5" t="s">
        <v>5</v>
      </c>
      <c r="K5" s="4">
        <v>0</v>
      </c>
      <c r="L5" s="2">
        <v>42369</v>
      </c>
      <c r="M5" t="s">
        <v>6</v>
      </c>
      <c r="N5" t="s">
        <v>7</v>
      </c>
      <c r="O5" s="14">
        <v>1040000010</v>
      </c>
      <c r="P5" t="s">
        <v>19</v>
      </c>
      <c r="Q5" t="s">
        <v>6</v>
      </c>
      <c r="R5" t="s">
        <v>12</v>
      </c>
      <c r="S5" t="s">
        <v>6</v>
      </c>
      <c r="T5" t="s">
        <v>12</v>
      </c>
      <c r="U5" t="s">
        <v>17</v>
      </c>
      <c r="V5" s="5" t="s">
        <v>6</v>
      </c>
      <c r="W5" t="s">
        <v>12</v>
      </c>
      <c r="X5" s="5" t="s">
        <v>6</v>
      </c>
      <c r="Y5" t="s">
        <v>11</v>
      </c>
      <c r="Z5" t="s">
        <v>6</v>
      </c>
      <c r="AA5" t="s">
        <v>7</v>
      </c>
      <c r="AB5" t="s">
        <v>6</v>
      </c>
      <c r="AC5" t="s">
        <v>6</v>
      </c>
    </row>
    <row r="6" spans="1:29" ht="14.15" customHeight="1" x14ac:dyDescent="0.25">
      <c r="A6" t="s">
        <v>0</v>
      </c>
      <c r="B6" t="s">
        <v>20</v>
      </c>
      <c r="C6" t="s">
        <v>21</v>
      </c>
      <c r="D6" s="2">
        <v>42369</v>
      </c>
      <c r="E6" t="s">
        <v>22</v>
      </c>
      <c r="F6" t="s">
        <v>23</v>
      </c>
      <c r="G6" s="4">
        <v>3312</v>
      </c>
      <c r="H6" s="3">
        <v>11184624</v>
      </c>
      <c r="I6" s="4">
        <v>3312</v>
      </c>
      <c r="J6" t="s">
        <v>5</v>
      </c>
      <c r="K6" s="4">
        <v>0</v>
      </c>
      <c r="L6" s="2">
        <v>42369</v>
      </c>
      <c r="M6" t="s">
        <v>24</v>
      </c>
      <c r="N6" t="s">
        <v>7</v>
      </c>
      <c r="O6" s="14">
        <v>2030600070</v>
      </c>
      <c r="P6" t="s">
        <v>26</v>
      </c>
      <c r="Q6" t="s">
        <v>6</v>
      </c>
      <c r="R6" t="s">
        <v>20</v>
      </c>
      <c r="S6" t="s">
        <v>6</v>
      </c>
      <c r="T6" t="s">
        <v>20</v>
      </c>
      <c r="U6" t="s">
        <v>27</v>
      </c>
      <c r="V6" t="s">
        <v>6</v>
      </c>
      <c r="W6" t="s">
        <v>20</v>
      </c>
      <c r="X6" s="5" t="s">
        <v>6</v>
      </c>
      <c r="Y6" t="s">
        <v>6</v>
      </c>
      <c r="Z6" t="s">
        <v>6</v>
      </c>
      <c r="AA6" t="s">
        <v>5</v>
      </c>
      <c r="AB6" t="s">
        <v>6</v>
      </c>
      <c r="AC6" t="s">
        <v>28</v>
      </c>
    </row>
    <row r="7" spans="1:29" ht="14.15" customHeight="1" x14ac:dyDescent="0.25">
      <c r="A7" t="s">
        <v>0</v>
      </c>
      <c r="B7" t="s">
        <v>29</v>
      </c>
      <c r="C7" t="s">
        <v>30</v>
      </c>
      <c r="D7" s="2">
        <v>43123</v>
      </c>
      <c r="E7" t="s">
        <v>6</v>
      </c>
      <c r="F7" t="s">
        <v>31</v>
      </c>
      <c r="G7" s="4">
        <v>1000</v>
      </c>
      <c r="H7" s="3">
        <v>3678130</v>
      </c>
      <c r="I7" s="4">
        <v>1000</v>
      </c>
      <c r="J7" t="s">
        <v>5</v>
      </c>
      <c r="K7" s="4">
        <v>0</v>
      </c>
      <c r="L7" s="2">
        <v>43190</v>
      </c>
      <c r="M7" t="s">
        <v>32</v>
      </c>
      <c r="N7" t="s">
        <v>7</v>
      </c>
      <c r="O7" s="14">
        <v>2020400000</v>
      </c>
      <c r="P7" t="s">
        <v>34</v>
      </c>
      <c r="Q7" t="s">
        <v>6</v>
      </c>
      <c r="R7" t="s">
        <v>29</v>
      </c>
      <c r="S7" t="s">
        <v>6</v>
      </c>
      <c r="T7" t="s">
        <v>29</v>
      </c>
      <c r="U7" t="s">
        <v>27</v>
      </c>
      <c r="V7" t="s">
        <v>6</v>
      </c>
      <c r="W7" t="s">
        <v>29</v>
      </c>
      <c r="X7" s="5" t="s">
        <v>6</v>
      </c>
      <c r="Y7" t="s">
        <v>6</v>
      </c>
      <c r="Z7" t="s">
        <v>35</v>
      </c>
      <c r="AA7" t="s">
        <v>5</v>
      </c>
      <c r="AB7" t="s">
        <v>6</v>
      </c>
      <c r="AC7" t="s">
        <v>28</v>
      </c>
    </row>
    <row r="8" spans="1:29" ht="14.15" customHeight="1" x14ac:dyDescent="0.25">
      <c r="A8" t="s">
        <v>0</v>
      </c>
      <c r="B8" t="s">
        <v>36</v>
      </c>
      <c r="C8" t="s">
        <v>37</v>
      </c>
      <c r="D8" s="2">
        <v>43196</v>
      </c>
      <c r="E8" t="s">
        <v>38</v>
      </c>
      <c r="F8" t="s">
        <v>39</v>
      </c>
      <c r="G8" s="4">
        <v>-71.52</v>
      </c>
      <c r="H8" s="3">
        <v>-265444</v>
      </c>
      <c r="I8" s="4">
        <v>-71.52</v>
      </c>
      <c r="J8" t="s">
        <v>5</v>
      </c>
      <c r="K8" s="4">
        <v>0</v>
      </c>
      <c r="L8" s="2">
        <v>43220</v>
      </c>
      <c r="M8" t="s">
        <v>6</v>
      </c>
      <c r="N8" t="s">
        <v>7</v>
      </c>
      <c r="O8" s="14">
        <v>1040000100</v>
      </c>
      <c r="P8" t="s">
        <v>41</v>
      </c>
      <c r="Q8" t="s">
        <v>6</v>
      </c>
      <c r="R8" t="s">
        <v>36</v>
      </c>
      <c r="S8" t="s">
        <v>6</v>
      </c>
      <c r="T8" t="s">
        <v>36</v>
      </c>
      <c r="U8" t="s">
        <v>42</v>
      </c>
      <c r="V8" s="5" t="s">
        <v>6</v>
      </c>
      <c r="W8" t="s">
        <v>36</v>
      </c>
      <c r="X8" s="5" t="s">
        <v>6</v>
      </c>
      <c r="Y8" t="s">
        <v>11</v>
      </c>
      <c r="Z8" t="s">
        <v>6</v>
      </c>
      <c r="AA8" t="s">
        <v>5</v>
      </c>
      <c r="AB8" t="s">
        <v>6</v>
      </c>
      <c r="AC8" t="s">
        <v>6</v>
      </c>
    </row>
    <row r="9" spans="1:29" ht="14.15" customHeight="1" x14ac:dyDescent="0.25">
      <c r="A9" t="s">
        <v>0</v>
      </c>
      <c r="B9" t="s">
        <v>43</v>
      </c>
      <c r="C9" t="s">
        <v>44</v>
      </c>
      <c r="D9" s="2">
        <v>43238</v>
      </c>
      <c r="E9" t="s">
        <v>45</v>
      </c>
      <c r="F9" t="s">
        <v>46</v>
      </c>
      <c r="G9" s="4">
        <v>-487.5</v>
      </c>
      <c r="H9" s="3">
        <v>-1809478</v>
      </c>
      <c r="I9" s="4">
        <v>-487.5</v>
      </c>
      <c r="J9" t="s">
        <v>5</v>
      </c>
      <c r="K9" s="4">
        <v>0</v>
      </c>
      <c r="L9" s="2">
        <v>43465</v>
      </c>
      <c r="M9" t="s">
        <v>6</v>
      </c>
      <c r="N9" t="s">
        <v>7</v>
      </c>
      <c r="O9" s="14">
        <v>1040000100</v>
      </c>
      <c r="P9" t="s">
        <v>47</v>
      </c>
      <c r="Q9" t="s">
        <v>6</v>
      </c>
      <c r="R9" t="s">
        <v>43</v>
      </c>
      <c r="S9" t="s">
        <v>6</v>
      </c>
      <c r="T9" t="s">
        <v>43</v>
      </c>
      <c r="U9" t="s">
        <v>42</v>
      </c>
      <c r="V9" s="5" t="s">
        <v>6</v>
      </c>
      <c r="W9" t="s">
        <v>43</v>
      </c>
      <c r="X9" s="5" t="s">
        <v>6</v>
      </c>
      <c r="Y9" t="s">
        <v>11</v>
      </c>
      <c r="Z9" t="s">
        <v>6</v>
      </c>
      <c r="AA9" t="s">
        <v>5</v>
      </c>
      <c r="AB9" t="s">
        <v>6</v>
      </c>
      <c r="AC9" t="s">
        <v>6</v>
      </c>
    </row>
    <row r="10" spans="1:29" ht="14.15" customHeight="1" x14ac:dyDescent="0.25">
      <c r="A10" t="s">
        <v>0</v>
      </c>
      <c r="B10" t="s">
        <v>48</v>
      </c>
      <c r="C10" t="s">
        <v>49</v>
      </c>
      <c r="D10" s="2">
        <v>44354</v>
      </c>
      <c r="E10" t="s">
        <v>50</v>
      </c>
      <c r="F10" t="s">
        <v>51</v>
      </c>
      <c r="G10" s="4">
        <v>-4.72</v>
      </c>
      <c r="H10" s="3">
        <v>-16800</v>
      </c>
      <c r="I10" s="4">
        <v>-4.72</v>
      </c>
      <c r="J10" t="s">
        <v>5</v>
      </c>
      <c r="K10" s="4">
        <v>0</v>
      </c>
      <c r="L10" s="2">
        <v>44377</v>
      </c>
      <c r="M10" t="s">
        <v>6</v>
      </c>
      <c r="N10" t="s">
        <v>7</v>
      </c>
      <c r="O10" s="14">
        <v>1040000100</v>
      </c>
      <c r="P10" t="s">
        <v>52</v>
      </c>
      <c r="Q10" t="s">
        <v>6</v>
      </c>
      <c r="R10" t="s">
        <v>48</v>
      </c>
      <c r="S10" t="s">
        <v>6</v>
      </c>
      <c r="T10" t="s">
        <v>48</v>
      </c>
      <c r="U10" t="s">
        <v>10</v>
      </c>
      <c r="V10" s="5" t="s">
        <v>6</v>
      </c>
      <c r="W10" t="s">
        <v>48</v>
      </c>
      <c r="X10" s="5" t="s">
        <v>6</v>
      </c>
      <c r="Y10" t="s">
        <v>11</v>
      </c>
      <c r="Z10" t="s">
        <v>6</v>
      </c>
      <c r="AA10" t="s">
        <v>5</v>
      </c>
      <c r="AB10" t="s">
        <v>6</v>
      </c>
      <c r="AC10" t="s">
        <v>6</v>
      </c>
    </row>
    <row r="11" spans="1:29" ht="14.15" customHeight="1" x14ac:dyDescent="0.25">
      <c r="A11" t="s">
        <v>0</v>
      </c>
      <c r="B11" t="s">
        <v>48</v>
      </c>
      <c r="C11" t="s">
        <v>49</v>
      </c>
      <c r="D11" s="2">
        <v>44354</v>
      </c>
      <c r="E11" t="s">
        <v>53</v>
      </c>
      <c r="F11" t="s">
        <v>54</v>
      </c>
      <c r="G11" s="4">
        <v>-4.72</v>
      </c>
      <c r="H11" s="3">
        <v>-16800</v>
      </c>
      <c r="I11" s="4">
        <v>-4.72</v>
      </c>
      <c r="J11" t="s">
        <v>5</v>
      </c>
      <c r="K11" s="4">
        <v>0</v>
      </c>
      <c r="L11" s="2">
        <v>44377</v>
      </c>
      <c r="M11" t="s">
        <v>6</v>
      </c>
      <c r="N11" t="s">
        <v>7</v>
      </c>
      <c r="O11" s="14">
        <v>1040000100</v>
      </c>
      <c r="P11" t="s">
        <v>52</v>
      </c>
      <c r="Q11" t="s">
        <v>6</v>
      </c>
      <c r="R11" t="s">
        <v>48</v>
      </c>
      <c r="S11" t="s">
        <v>6</v>
      </c>
      <c r="T11" t="s">
        <v>48</v>
      </c>
      <c r="U11" t="s">
        <v>10</v>
      </c>
      <c r="V11" s="5" t="s">
        <v>6</v>
      </c>
      <c r="W11" t="s">
        <v>48</v>
      </c>
      <c r="X11" s="5" t="s">
        <v>6</v>
      </c>
      <c r="Y11" t="s">
        <v>11</v>
      </c>
      <c r="Z11" t="s">
        <v>6</v>
      </c>
      <c r="AA11" t="s">
        <v>5</v>
      </c>
      <c r="AB11" t="s">
        <v>6</v>
      </c>
      <c r="AC11" t="s">
        <v>6</v>
      </c>
    </row>
    <row r="12" spans="1:29" ht="14.15" customHeight="1" x14ac:dyDescent="0.25">
      <c r="A12" t="s">
        <v>0</v>
      </c>
      <c r="B12" t="s">
        <v>48</v>
      </c>
      <c r="C12" t="s">
        <v>49</v>
      </c>
      <c r="D12" s="2">
        <v>44354</v>
      </c>
      <c r="E12" t="s">
        <v>55</v>
      </c>
      <c r="F12" t="s">
        <v>56</v>
      </c>
      <c r="G12" s="4">
        <v>-2.36</v>
      </c>
      <c r="H12" s="3">
        <v>-8400</v>
      </c>
      <c r="I12" s="4">
        <v>-2.36</v>
      </c>
      <c r="J12" t="s">
        <v>5</v>
      </c>
      <c r="K12" s="4">
        <v>0</v>
      </c>
      <c r="L12" s="2">
        <v>44377</v>
      </c>
      <c r="M12" t="s">
        <v>6</v>
      </c>
      <c r="N12" t="s">
        <v>7</v>
      </c>
      <c r="O12" s="14">
        <v>1040000100</v>
      </c>
      <c r="P12" t="s">
        <v>57</v>
      </c>
      <c r="Q12" t="s">
        <v>6</v>
      </c>
      <c r="R12" t="s">
        <v>48</v>
      </c>
      <c r="S12" t="s">
        <v>6</v>
      </c>
      <c r="T12" t="s">
        <v>48</v>
      </c>
      <c r="U12" t="s">
        <v>10</v>
      </c>
      <c r="V12" s="5" t="s">
        <v>6</v>
      </c>
      <c r="W12" t="s">
        <v>48</v>
      </c>
      <c r="X12" s="5" t="s">
        <v>6</v>
      </c>
      <c r="Y12" t="s">
        <v>11</v>
      </c>
      <c r="Z12" t="s">
        <v>6</v>
      </c>
      <c r="AA12" t="s">
        <v>5</v>
      </c>
      <c r="AB12" t="s">
        <v>6</v>
      </c>
      <c r="AC12" t="s">
        <v>6</v>
      </c>
    </row>
    <row r="13" spans="1:29" ht="14.15" customHeight="1" x14ac:dyDescent="0.25">
      <c r="A13" t="s">
        <v>0</v>
      </c>
      <c r="B13" t="s">
        <v>48</v>
      </c>
      <c r="C13" t="s">
        <v>49</v>
      </c>
      <c r="D13" s="2">
        <v>44354</v>
      </c>
      <c r="E13" t="s">
        <v>58</v>
      </c>
      <c r="F13" t="s">
        <v>59</v>
      </c>
      <c r="G13" s="4">
        <v>-34.49</v>
      </c>
      <c r="H13" s="3">
        <v>-122760</v>
      </c>
      <c r="I13" s="4">
        <v>-34.49</v>
      </c>
      <c r="J13" t="s">
        <v>5</v>
      </c>
      <c r="K13" s="4">
        <v>0</v>
      </c>
      <c r="L13" s="2">
        <v>44377</v>
      </c>
      <c r="M13" t="s">
        <v>6</v>
      </c>
      <c r="N13" t="s">
        <v>7</v>
      </c>
      <c r="O13" s="14">
        <v>1040000100</v>
      </c>
      <c r="P13" t="s">
        <v>60</v>
      </c>
      <c r="Q13" t="s">
        <v>6</v>
      </c>
      <c r="R13" t="s">
        <v>48</v>
      </c>
      <c r="S13" t="s">
        <v>6</v>
      </c>
      <c r="T13" t="s">
        <v>48</v>
      </c>
      <c r="U13" t="s">
        <v>10</v>
      </c>
      <c r="V13" s="5" t="s">
        <v>6</v>
      </c>
      <c r="W13" t="s">
        <v>48</v>
      </c>
      <c r="X13" s="5" t="s">
        <v>6</v>
      </c>
      <c r="Y13" t="s">
        <v>11</v>
      </c>
      <c r="Z13" t="s">
        <v>6</v>
      </c>
      <c r="AA13" t="s">
        <v>5</v>
      </c>
      <c r="AB13" t="s">
        <v>6</v>
      </c>
      <c r="AC13" t="s">
        <v>6</v>
      </c>
    </row>
    <row r="14" spans="1:29" ht="14.15" customHeight="1" x14ac:dyDescent="0.25">
      <c r="A14" t="s">
        <v>0</v>
      </c>
      <c r="B14" t="s">
        <v>48</v>
      </c>
      <c r="C14" t="s">
        <v>49</v>
      </c>
      <c r="D14" s="2">
        <v>44354</v>
      </c>
      <c r="E14" t="s">
        <v>61</v>
      </c>
      <c r="F14" t="s">
        <v>62</v>
      </c>
      <c r="G14" s="4">
        <v>-34.49</v>
      </c>
      <c r="H14" s="3">
        <v>-122760</v>
      </c>
      <c r="I14" s="4">
        <v>-34.49</v>
      </c>
      <c r="J14" t="s">
        <v>5</v>
      </c>
      <c r="K14" s="4">
        <v>0</v>
      </c>
      <c r="L14" s="2">
        <v>44377</v>
      </c>
      <c r="M14" t="s">
        <v>6</v>
      </c>
      <c r="N14" t="s">
        <v>7</v>
      </c>
      <c r="O14" s="14">
        <v>1040000100</v>
      </c>
      <c r="P14" t="s">
        <v>63</v>
      </c>
      <c r="Q14" t="s">
        <v>6</v>
      </c>
      <c r="R14" t="s">
        <v>48</v>
      </c>
      <c r="S14" t="s">
        <v>6</v>
      </c>
      <c r="T14" t="s">
        <v>48</v>
      </c>
      <c r="U14" t="s">
        <v>10</v>
      </c>
      <c r="V14" s="5" t="s">
        <v>6</v>
      </c>
      <c r="W14" t="s">
        <v>48</v>
      </c>
      <c r="X14" s="5" t="s">
        <v>6</v>
      </c>
      <c r="Y14" t="s">
        <v>11</v>
      </c>
      <c r="Z14" t="s">
        <v>6</v>
      </c>
      <c r="AA14" t="s">
        <v>5</v>
      </c>
      <c r="AB14" t="s">
        <v>6</v>
      </c>
      <c r="AC14" t="s">
        <v>6</v>
      </c>
    </row>
    <row r="15" spans="1:29" ht="14.15" customHeight="1" x14ac:dyDescent="0.25">
      <c r="A15" t="s">
        <v>0</v>
      </c>
      <c r="B15" t="s">
        <v>64</v>
      </c>
      <c r="C15" t="s">
        <v>65</v>
      </c>
      <c r="D15" s="2">
        <v>44487</v>
      </c>
      <c r="E15" t="s">
        <v>66</v>
      </c>
      <c r="F15" t="s">
        <v>67</v>
      </c>
      <c r="G15" s="3">
        <v>-2449199</v>
      </c>
      <c r="H15" s="3">
        <v>-2449199</v>
      </c>
      <c r="I15" s="4">
        <v>-675</v>
      </c>
      <c r="J15" t="s">
        <v>5</v>
      </c>
      <c r="K15" s="4">
        <v>0</v>
      </c>
      <c r="L15" s="2">
        <v>44493</v>
      </c>
      <c r="M15" t="s">
        <v>6</v>
      </c>
      <c r="N15" t="s">
        <v>7</v>
      </c>
      <c r="O15" s="14">
        <v>1040000010</v>
      </c>
      <c r="P15" t="s">
        <v>68</v>
      </c>
      <c r="Q15" t="s">
        <v>6</v>
      </c>
      <c r="R15" t="s">
        <v>64</v>
      </c>
      <c r="S15" t="s">
        <v>6</v>
      </c>
      <c r="T15" t="s">
        <v>64</v>
      </c>
      <c r="U15" t="s">
        <v>10</v>
      </c>
      <c r="V15" s="5" t="s">
        <v>6</v>
      </c>
      <c r="W15" t="s">
        <v>64</v>
      </c>
      <c r="X15" s="5" t="s">
        <v>6</v>
      </c>
      <c r="Y15" t="s">
        <v>11</v>
      </c>
      <c r="Z15" t="s">
        <v>6</v>
      </c>
      <c r="AA15" t="s">
        <v>7</v>
      </c>
      <c r="AB15" t="s">
        <v>6</v>
      </c>
      <c r="AC15" t="s">
        <v>6</v>
      </c>
    </row>
    <row r="16" spans="1:29" ht="14.15" customHeight="1" x14ac:dyDescent="0.25">
      <c r="A16" t="s">
        <v>0</v>
      </c>
      <c r="B16" t="s">
        <v>69</v>
      </c>
      <c r="C16" t="s">
        <v>70</v>
      </c>
      <c r="D16" s="2">
        <v>44603</v>
      </c>
      <c r="E16" t="s">
        <v>6</v>
      </c>
      <c r="F16" t="s">
        <v>71</v>
      </c>
      <c r="G16" s="4">
        <v>1000</v>
      </c>
      <c r="H16" s="3">
        <v>3560000</v>
      </c>
      <c r="I16" s="4">
        <v>1000</v>
      </c>
      <c r="J16" t="s">
        <v>5</v>
      </c>
      <c r="K16" s="4">
        <v>0</v>
      </c>
      <c r="L16" s="2">
        <v>44603</v>
      </c>
      <c r="M16" t="s">
        <v>32</v>
      </c>
      <c r="N16" t="s">
        <v>7</v>
      </c>
      <c r="O16" s="14">
        <v>2020400000</v>
      </c>
      <c r="P16" t="s">
        <v>72</v>
      </c>
      <c r="Q16" t="s">
        <v>6</v>
      </c>
      <c r="R16" t="s">
        <v>69</v>
      </c>
      <c r="S16" t="s">
        <v>6</v>
      </c>
      <c r="T16" t="s">
        <v>69</v>
      </c>
      <c r="U16" t="s">
        <v>27</v>
      </c>
      <c r="V16" t="s">
        <v>6</v>
      </c>
      <c r="W16" t="s">
        <v>69</v>
      </c>
      <c r="X16" s="5" t="s">
        <v>6</v>
      </c>
      <c r="Y16" t="s">
        <v>6</v>
      </c>
      <c r="Z16" t="s">
        <v>6</v>
      </c>
      <c r="AA16" t="s">
        <v>5</v>
      </c>
      <c r="AB16" t="s">
        <v>6</v>
      </c>
      <c r="AC16" t="s">
        <v>28</v>
      </c>
    </row>
    <row r="17" spans="1:29" ht="14.15" customHeight="1" x14ac:dyDescent="0.25">
      <c r="A17" t="s">
        <v>0</v>
      </c>
      <c r="B17" t="s">
        <v>64</v>
      </c>
      <c r="C17" t="s">
        <v>65</v>
      </c>
      <c r="D17" s="2">
        <v>44627</v>
      </c>
      <c r="E17" t="s">
        <v>73</v>
      </c>
      <c r="F17" t="s">
        <v>74</v>
      </c>
      <c r="G17" s="3">
        <v>-3379034</v>
      </c>
      <c r="H17" s="3">
        <v>-3379034</v>
      </c>
      <c r="I17" s="4">
        <v>-938.7</v>
      </c>
      <c r="J17" t="s">
        <v>5</v>
      </c>
      <c r="K17" s="4">
        <v>0</v>
      </c>
      <c r="L17" s="2">
        <v>44644</v>
      </c>
      <c r="M17" t="s">
        <v>6</v>
      </c>
      <c r="N17" t="s">
        <v>7</v>
      </c>
      <c r="O17" s="14">
        <v>1040000010</v>
      </c>
      <c r="P17" t="s">
        <v>75</v>
      </c>
      <c r="Q17" t="s">
        <v>6</v>
      </c>
      <c r="R17" t="s">
        <v>64</v>
      </c>
      <c r="S17" t="s">
        <v>6</v>
      </c>
      <c r="T17" t="s">
        <v>64</v>
      </c>
      <c r="U17" t="s">
        <v>10</v>
      </c>
      <c r="V17" s="5" t="s">
        <v>6</v>
      </c>
      <c r="W17" t="s">
        <v>64</v>
      </c>
      <c r="X17" s="5" t="s">
        <v>6</v>
      </c>
      <c r="Y17" t="s">
        <v>11</v>
      </c>
      <c r="Z17" t="s">
        <v>6</v>
      </c>
      <c r="AA17" t="s">
        <v>7</v>
      </c>
      <c r="AB17" t="s">
        <v>6</v>
      </c>
      <c r="AC17" t="s">
        <v>6</v>
      </c>
    </row>
    <row r="18" spans="1:29" ht="14.15" customHeight="1" x14ac:dyDescent="0.25">
      <c r="A18" t="s">
        <v>0</v>
      </c>
      <c r="B18" t="s">
        <v>76</v>
      </c>
      <c r="C18" t="s">
        <v>77</v>
      </c>
      <c r="D18" s="2">
        <v>44685</v>
      </c>
      <c r="E18" t="s">
        <v>78</v>
      </c>
      <c r="F18" t="s">
        <v>79</v>
      </c>
      <c r="G18" s="3">
        <v>6629200</v>
      </c>
      <c r="H18" s="3">
        <v>6629200</v>
      </c>
      <c r="I18" s="4">
        <v>1864.04</v>
      </c>
      <c r="J18" t="s">
        <v>5</v>
      </c>
      <c r="K18" s="4">
        <v>0</v>
      </c>
      <c r="L18" s="2">
        <v>44685</v>
      </c>
      <c r="M18" t="s">
        <v>80</v>
      </c>
      <c r="N18" t="s">
        <v>7</v>
      </c>
      <c r="O18" s="14">
        <v>2030600110</v>
      </c>
      <c r="P18" t="s">
        <v>82</v>
      </c>
      <c r="Q18" t="s">
        <v>6</v>
      </c>
      <c r="R18" t="s">
        <v>83</v>
      </c>
      <c r="S18" t="s">
        <v>6</v>
      </c>
      <c r="T18" t="s">
        <v>76</v>
      </c>
      <c r="U18" t="s">
        <v>84</v>
      </c>
      <c r="V18" t="s">
        <v>6</v>
      </c>
      <c r="W18" t="s">
        <v>76</v>
      </c>
      <c r="X18" s="5" t="s">
        <v>6</v>
      </c>
      <c r="Y18" t="s">
        <v>6</v>
      </c>
      <c r="Z18" t="s">
        <v>85</v>
      </c>
      <c r="AA18" t="s">
        <v>7</v>
      </c>
      <c r="AB18" t="s">
        <v>6</v>
      </c>
      <c r="AC18" t="s">
        <v>28</v>
      </c>
    </row>
    <row r="19" spans="1:29" ht="14.15" customHeight="1" x14ac:dyDescent="0.25">
      <c r="A19" t="s">
        <v>0</v>
      </c>
      <c r="B19" t="s">
        <v>76</v>
      </c>
      <c r="C19" t="s">
        <v>77</v>
      </c>
      <c r="D19" s="2">
        <v>44685</v>
      </c>
      <c r="E19" t="s">
        <v>78</v>
      </c>
      <c r="F19" t="s">
        <v>79</v>
      </c>
      <c r="G19" s="3">
        <v>4978100</v>
      </c>
      <c r="H19" s="3">
        <v>4978100</v>
      </c>
      <c r="I19" s="4">
        <v>1399.77</v>
      </c>
      <c r="J19" t="s">
        <v>5</v>
      </c>
      <c r="K19" s="4">
        <v>0</v>
      </c>
      <c r="L19" s="2">
        <v>44685</v>
      </c>
      <c r="M19" t="s">
        <v>80</v>
      </c>
      <c r="N19" t="s">
        <v>7</v>
      </c>
      <c r="O19" s="14">
        <v>2030600110</v>
      </c>
      <c r="P19" t="s">
        <v>86</v>
      </c>
      <c r="Q19" t="s">
        <v>6</v>
      </c>
      <c r="R19" t="s">
        <v>83</v>
      </c>
      <c r="S19" t="s">
        <v>6</v>
      </c>
      <c r="T19" t="s">
        <v>76</v>
      </c>
      <c r="U19" t="s">
        <v>84</v>
      </c>
      <c r="V19" t="s">
        <v>6</v>
      </c>
      <c r="W19" t="s">
        <v>76</v>
      </c>
      <c r="X19" s="5" t="s">
        <v>6</v>
      </c>
      <c r="Y19" t="s">
        <v>6</v>
      </c>
      <c r="Z19" t="s">
        <v>85</v>
      </c>
      <c r="AA19" t="s">
        <v>7</v>
      </c>
      <c r="AB19" t="s">
        <v>6</v>
      </c>
      <c r="AC19" t="s">
        <v>28</v>
      </c>
    </row>
    <row r="20" spans="1:29" ht="14.15" customHeight="1" x14ac:dyDescent="0.25">
      <c r="A20" t="s">
        <v>0</v>
      </c>
      <c r="B20" t="s">
        <v>76</v>
      </c>
      <c r="C20" t="s">
        <v>77</v>
      </c>
      <c r="D20" s="2">
        <v>44791</v>
      </c>
      <c r="E20" t="s">
        <v>87</v>
      </c>
      <c r="F20" t="s">
        <v>88</v>
      </c>
      <c r="G20" s="3">
        <v>9936075</v>
      </c>
      <c r="H20" s="3">
        <v>9936075</v>
      </c>
      <c r="I20" s="4">
        <v>2563.79</v>
      </c>
      <c r="J20" t="s">
        <v>5</v>
      </c>
      <c r="K20" s="4">
        <v>0</v>
      </c>
      <c r="L20" s="2">
        <v>44791</v>
      </c>
      <c r="M20" t="s">
        <v>89</v>
      </c>
      <c r="N20" t="s">
        <v>7</v>
      </c>
      <c r="O20" s="14">
        <v>2030600020</v>
      </c>
      <c r="P20" t="s">
        <v>91</v>
      </c>
      <c r="Q20" t="s">
        <v>6</v>
      </c>
      <c r="R20" t="s">
        <v>83</v>
      </c>
      <c r="S20" t="s">
        <v>6</v>
      </c>
      <c r="T20" t="s">
        <v>76</v>
      </c>
      <c r="U20" t="s">
        <v>84</v>
      </c>
      <c r="V20" t="s">
        <v>6</v>
      </c>
      <c r="W20" t="s">
        <v>76</v>
      </c>
      <c r="X20" s="5" t="s">
        <v>6</v>
      </c>
      <c r="Y20" t="s">
        <v>6</v>
      </c>
      <c r="Z20" t="s">
        <v>85</v>
      </c>
      <c r="AA20" t="s">
        <v>7</v>
      </c>
      <c r="AB20" t="s">
        <v>6</v>
      </c>
      <c r="AC20" t="s">
        <v>28</v>
      </c>
    </row>
    <row r="21" spans="1:29" ht="14.15" customHeight="1" x14ac:dyDescent="0.25">
      <c r="A21" t="s">
        <v>0</v>
      </c>
      <c r="B21" t="s">
        <v>76</v>
      </c>
      <c r="C21" t="s">
        <v>77</v>
      </c>
      <c r="D21" s="2">
        <v>44791</v>
      </c>
      <c r="E21" t="s">
        <v>87</v>
      </c>
      <c r="F21" t="s">
        <v>88</v>
      </c>
      <c r="G21" s="3">
        <v>4730450</v>
      </c>
      <c r="H21" s="3">
        <v>4730450</v>
      </c>
      <c r="I21" s="4">
        <v>1220.5899999999999</v>
      </c>
      <c r="J21" t="s">
        <v>5</v>
      </c>
      <c r="K21" s="4">
        <v>0</v>
      </c>
      <c r="L21" s="2">
        <v>44791</v>
      </c>
      <c r="M21" t="s">
        <v>89</v>
      </c>
      <c r="N21" t="s">
        <v>7</v>
      </c>
      <c r="O21" s="14">
        <v>2030600020</v>
      </c>
      <c r="P21" t="s">
        <v>92</v>
      </c>
      <c r="Q21" t="s">
        <v>6</v>
      </c>
      <c r="R21" t="s">
        <v>83</v>
      </c>
      <c r="S21" t="s">
        <v>6</v>
      </c>
      <c r="T21" t="s">
        <v>76</v>
      </c>
      <c r="U21" t="s">
        <v>84</v>
      </c>
      <c r="V21" t="s">
        <v>6</v>
      </c>
      <c r="W21" t="s">
        <v>76</v>
      </c>
      <c r="X21" s="5" t="s">
        <v>6</v>
      </c>
      <c r="Y21" t="s">
        <v>6</v>
      </c>
      <c r="Z21" t="s">
        <v>85</v>
      </c>
      <c r="AA21" t="s">
        <v>7</v>
      </c>
      <c r="AB21" t="s">
        <v>6</v>
      </c>
      <c r="AC21" t="s">
        <v>28</v>
      </c>
    </row>
    <row r="22" spans="1:29" ht="14.15" customHeight="1" x14ac:dyDescent="0.25">
      <c r="A22" t="s">
        <v>0</v>
      </c>
      <c r="B22" t="s">
        <v>76</v>
      </c>
      <c r="C22" t="s">
        <v>77</v>
      </c>
      <c r="D22" s="2">
        <v>45005</v>
      </c>
      <c r="E22" t="s">
        <v>6</v>
      </c>
      <c r="F22" t="s">
        <v>93</v>
      </c>
      <c r="G22" s="3">
        <v>9925300</v>
      </c>
      <c r="H22" s="3">
        <v>9925300</v>
      </c>
      <c r="I22" s="4">
        <v>2649.34</v>
      </c>
      <c r="J22" t="s">
        <v>5</v>
      </c>
      <c r="K22" s="4">
        <v>0</v>
      </c>
      <c r="L22" s="2">
        <v>45005</v>
      </c>
      <c r="M22" t="s">
        <v>89</v>
      </c>
      <c r="N22" t="s">
        <v>7</v>
      </c>
      <c r="O22" s="14">
        <v>2030600020</v>
      </c>
      <c r="P22" t="s">
        <v>94</v>
      </c>
      <c r="Q22" t="s">
        <v>6</v>
      </c>
      <c r="R22" t="s">
        <v>83</v>
      </c>
      <c r="S22" t="s">
        <v>6</v>
      </c>
      <c r="T22" t="s">
        <v>76</v>
      </c>
      <c r="U22" t="s">
        <v>17</v>
      </c>
      <c r="V22" t="s">
        <v>6</v>
      </c>
      <c r="W22" t="s">
        <v>76</v>
      </c>
      <c r="X22" s="5" t="s">
        <v>6</v>
      </c>
      <c r="Y22" t="s">
        <v>6</v>
      </c>
      <c r="Z22" t="s">
        <v>85</v>
      </c>
      <c r="AA22" t="s">
        <v>7</v>
      </c>
      <c r="AB22" t="s">
        <v>6</v>
      </c>
      <c r="AC22" t="s">
        <v>28</v>
      </c>
    </row>
    <row r="23" spans="1:29" ht="14.15" customHeight="1" x14ac:dyDescent="0.25">
      <c r="A23" t="s">
        <v>0</v>
      </c>
      <c r="B23" t="s">
        <v>76</v>
      </c>
      <c r="C23" t="s">
        <v>77</v>
      </c>
      <c r="D23" s="2">
        <v>45005</v>
      </c>
      <c r="E23" t="s">
        <v>6</v>
      </c>
      <c r="F23" t="s">
        <v>95</v>
      </c>
      <c r="G23" s="3">
        <v>4729300</v>
      </c>
      <c r="H23" s="3">
        <v>4729300</v>
      </c>
      <c r="I23" s="4">
        <v>1262.3800000000001</v>
      </c>
      <c r="J23" t="s">
        <v>5</v>
      </c>
      <c r="K23" s="4">
        <v>0</v>
      </c>
      <c r="L23" s="2">
        <v>45005</v>
      </c>
      <c r="M23" t="s">
        <v>89</v>
      </c>
      <c r="N23" t="s">
        <v>7</v>
      </c>
      <c r="O23" s="14">
        <v>2030600020</v>
      </c>
      <c r="P23" t="s">
        <v>96</v>
      </c>
      <c r="Q23" t="s">
        <v>6</v>
      </c>
      <c r="R23" t="s">
        <v>83</v>
      </c>
      <c r="S23" t="s">
        <v>6</v>
      </c>
      <c r="T23" t="s">
        <v>76</v>
      </c>
      <c r="U23" t="s">
        <v>17</v>
      </c>
      <c r="V23" t="s">
        <v>6</v>
      </c>
      <c r="W23" t="s">
        <v>76</v>
      </c>
      <c r="X23" s="5" t="s">
        <v>6</v>
      </c>
      <c r="Y23" t="s">
        <v>6</v>
      </c>
      <c r="Z23" t="s">
        <v>85</v>
      </c>
      <c r="AA23" t="s">
        <v>7</v>
      </c>
      <c r="AB23" t="s">
        <v>6</v>
      </c>
      <c r="AC23" t="s">
        <v>28</v>
      </c>
    </row>
    <row r="24" spans="1:29" ht="14.15" customHeight="1" x14ac:dyDescent="0.25">
      <c r="A24" t="s">
        <v>0</v>
      </c>
      <c r="B24" t="s">
        <v>76</v>
      </c>
      <c r="C24" t="s">
        <v>77</v>
      </c>
      <c r="D24" s="2">
        <v>45028</v>
      </c>
      <c r="E24" t="s">
        <v>97</v>
      </c>
      <c r="F24" t="s">
        <v>98</v>
      </c>
      <c r="G24" s="3">
        <v>4978150</v>
      </c>
      <c r="H24" s="3">
        <v>4978150</v>
      </c>
      <c r="I24" s="4">
        <v>1331.07</v>
      </c>
      <c r="J24" t="s">
        <v>5</v>
      </c>
      <c r="K24" s="4">
        <v>0</v>
      </c>
      <c r="L24" s="2">
        <v>45028</v>
      </c>
      <c r="M24" t="s">
        <v>89</v>
      </c>
      <c r="N24" t="s">
        <v>7</v>
      </c>
      <c r="O24" s="14">
        <v>2030600020</v>
      </c>
      <c r="P24" t="s">
        <v>86</v>
      </c>
      <c r="Q24" t="s">
        <v>6</v>
      </c>
      <c r="R24" t="s">
        <v>83</v>
      </c>
      <c r="S24" t="s">
        <v>6</v>
      </c>
      <c r="T24" t="s">
        <v>76</v>
      </c>
      <c r="U24" t="s">
        <v>84</v>
      </c>
      <c r="V24" t="s">
        <v>6</v>
      </c>
      <c r="W24" t="s">
        <v>76</v>
      </c>
      <c r="X24" s="5" t="s">
        <v>6</v>
      </c>
      <c r="Y24" t="s">
        <v>6</v>
      </c>
      <c r="Z24" t="s">
        <v>85</v>
      </c>
      <c r="AA24" t="s">
        <v>7</v>
      </c>
      <c r="AB24" t="s">
        <v>6</v>
      </c>
      <c r="AC24" t="s">
        <v>28</v>
      </c>
    </row>
    <row r="25" spans="1:29" ht="14.15" customHeight="1" x14ac:dyDescent="0.25">
      <c r="A25" t="s">
        <v>0</v>
      </c>
      <c r="B25" t="s">
        <v>99</v>
      </c>
      <c r="C25" t="s">
        <v>100</v>
      </c>
      <c r="D25" s="2">
        <v>45341</v>
      </c>
      <c r="E25" t="s">
        <v>101</v>
      </c>
      <c r="F25" t="s">
        <v>102</v>
      </c>
      <c r="G25" s="4">
        <v>1985</v>
      </c>
      <c r="H25" s="3">
        <v>7642250</v>
      </c>
      <c r="I25" s="4">
        <v>1985</v>
      </c>
      <c r="J25" t="s">
        <v>5</v>
      </c>
      <c r="K25" s="4">
        <v>0</v>
      </c>
      <c r="L25" s="2">
        <v>45341</v>
      </c>
      <c r="M25" t="s">
        <v>32</v>
      </c>
      <c r="N25" t="s">
        <v>7</v>
      </c>
      <c r="O25" s="14">
        <v>2020400000</v>
      </c>
      <c r="P25" t="s">
        <v>103</v>
      </c>
      <c r="Q25" t="s">
        <v>6</v>
      </c>
      <c r="R25" t="s">
        <v>99</v>
      </c>
      <c r="S25" t="s">
        <v>6</v>
      </c>
      <c r="T25" t="s">
        <v>99</v>
      </c>
      <c r="U25" t="s">
        <v>84</v>
      </c>
      <c r="V25" t="s">
        <v>6</v>
      </c>
      <c r="W25" t="s">
        <v>99</v>
      </c>
      <c r="X25" s="5" t="s">
        <v>6</v>
      </c>
      <c r="Y25" t="s">
        <v>6</v>
      </c>
      <c r="Z25" t="s">
        <v>6</v>
      </c>
      <c r="AA25" t="s">
        <v>5</v>
      </c>
      <c r="AB25" t="s">
        <v>6</v>
      </c>
      <c r="AC25" t="s">
        <v>28</v>
      </c>
    </row>
    <row r="26" spans="1:29" ht="14.15" customHeight="1" x14ac:dyDescent="0.25">
      <c r="A26" t="s">
        <v>0</v>
      </c>
      <c r="B26" t="s">
        <v>76</v>
      </c>
      <c r="C26" t="s">
        <v>77</v>
      </c>
      <c r="D26" s="2">
        <v>45597</v>
      </c>
      <c r="E26" t="s">
        <v>104</v>
      </c>
      <c r="F26" t="s">
        <v>105</v>
      </c>
      <c r="G26" s="3">
        <v>14616000</v>
      </c>
      <c r="H26" s="3">
        <v>14616000</v>
      </c>
      <c r="I26" s="4">
        <v>3992.8</v>
      </c>
      <c r="J26" t="s">
        <v>5</v>
      </c>
      <c r="K26" s="4">
        <v>0</v>
      </c>
      <c r="L26" s="2">
        <v>45597</v>
      </c>
      <c r="M26" t="s">
        <v>106</v>
      </c>
      <c r="N26" t="s">
        <v>7</v>
      </c>
      <c r="O26" s="14">
        <v>2030600090</v>
      </c>
      <c r="P26" t="s">
        <v>108</v>
      </c>
      <c r="Q26" t="s">
        <v>6</v>
      </c>
      <c r="R26" t="s">
        <v>83</v>
      </c>
      <c r="S26" t="s">
        <v>6</v>
      </c>
      <c r="T26" t="s">
        <v>76</v>
      </c>
      <c r="U26" t="s">
        <v>84</v>
      </c>
      <c r="V26" t="s">
        <v>6</v>
      </c>
      <c r="W26" t="s">
        <v>76</v>
      </c>
      <c r="X26" s="5" t="s">
        <v>6</v>
      </c>
      <c r="Y26" t="s">
        <v>6</v>
      </c>
      <c r="Z26" t="s">
        <v>6</v>
      </c>
      <c r="AA26" t="s">
        <v>7</v>
      </c>
      <c r="AB26" t="s">
        <v>6</v>
      </c>
      <c r="AC26" t="s">
        <v>28</v>
      </c>
    </row>
    <row r="27" spans="1:29" ht="14.15" customHeight="1" x14ac:dyDescent="0.25">
      <c r="A27" t="s">
        <v>0</v>
      </c>
      <c r="B27" t="s">
        <v>109</v>
      </c>
      <c r="C27" t="s">
        <v>110</v>
      </c>
      <c r="D27" s="2">
        <v>45597</v>
      </c>
      <c r="E27" t="s">
        <v>111</v>
      </c>
      <c r="F27" t="s">
        <v>112</v>
      </c>
      <c r="G27" s="3">
        <v>-456006</v>
      </c>
      <c r="H27" s="3">
        <v>-456006</v>
      </c>
      <c r="I27" s="4">
        <v>-124.57</v>
      </c>
      <c r="J27" t="s">
        <v>5</v>
      </c>
      <c r="K27" s="4">
        <v>0</v>
      </c>
      <c r="L27" s="2">
        <v>45597</v>
      </c>
      <c r="M27" t="s">
        <v>6</v>
      </c>
      <c r="N27" t="s">
        <v>7</v>
      </c>
      <c r="O27" s="14">
        <v>1040000010</v>
      </c>
      <c r="P27" t="s">
        <v>113</v>
      </c>
      <c r="Q27" t="s">
        <v>6</v>
      </c>
      <c r="R27" t="s">
        <v>109</v>
      </c>
      <c r="S27" t="s">
        <v>6</v>
      </c>
      <c r="T27" t="s">
        <v>109</v>
      </c>
      <c r="U27" t="s">
        <v>10</v>
      </c>
      <c r="V27" s="5" t="s">
        <v>6</v>
      </c>
      <c r="W27" t="s">
        <v>109</v>
      </c>
      <c r="X27" s="5" t="s">
        <v>6</v>
      </c>
      <c r="Y27" t="s">
        <v>11</v>
      </c>
      <c r="Z27" t="s">
        <v>114</v>
      </c>
      <c r="AA27" t="s">
        <v>7</v>
      </c>
      <c r="AB27" t="s">
        <v>6</v>
      </c>
      <c r="AC27" t="s">
        <v>6</v>
      </c>
    </row>
    <row r="28" spans="1:29" ht="14.15" customHeight="1" x14ac:dyDescent="0.25">
      <c r="A28" t="s">
        <v>0</v>
      </c>
      <c r="B28" t="s">
        <v>76</v>
      </c>
      <c r="C28" t="s">
        <v>77</v>
      </c>
      <c r="D28" s="2">
        <v>45616</v>
      </c>
      <c r="E28" t="s">
        <v>115</v>
      </c>
      <c r="F28" t="s">
        <v>116</v>
      </c>
      <c r="G28" s="3">
        <v>10000000</v>
      </c>
      <c r="H28" s="3">
        <v>10000000</v>
      </c>
      <c r="I28" s="4">
        <v>2716.48</v>
      </c>
      <c r="J28" t="s">
        <v>5</v>
      </c>
      <c r="K28" s="4">
        <v>0</v>
      </c>
      <c r="L28" s="2">
        <v>45616</v>
      </c>
      <c r="M28" t="s">
        <v>117</v>
      </c>
      <c r="N28" t="s">
        <v>7</v>
      </c>
      <c r="O28" s="14">
        <v>2030600080</v>
      </c>
      <c r="P28" t="s">
        <v>119</v>
      </c>
      <c r="Q28" t="s">
        <v>6</v>
      </c>
      <c r="R28" t="s">
        <v>83</v>
      </c>
      <c r="S28" t="s">
        <v>6</v>
      </c>
      <c r="T28" t="s">
        <v>76</v>
      </c>
      <c r="U28" t="s">
        <v>17</v>
      </c>
      <c r="V28" t="s">
        <v>6</v>
      </c>
      <c r="W28" t="s">
        <v>76</v>
      </c>
      <c r="X28" s="5" t="s">
        <v>6</v>
      </c>
      <c r="Y28" t="s">
        <v>6</v>
      </c>
      <c r="Z28" t="s">
        <v>120</v>
      </c>
      <c r="AA28" t="s">
        <v>7</v>
      </c>
      <c r="AB28" t="s">
        <v>6</v>
      </c>
      <c r="AC28" t="s">
        <v>28</v>
      </c>
    </row>
    <row r="29" spans="1:29" ht="14.15" customHeight="1" x14ac:dyDescent="0.25">
      <c r="A29" t="s">
        <v>0</v>
      </c>
      <c r="B29" t="s">
        <v>76</v>
      </c>
      <c r="C29" t="s">
        <v>77</v>
      </c>
      <c r="D29" s="2">
        <v>45616</v>
      </c>
      <c r="E29" t="s">
        <v>6</v>
      </c>
      <c r="F29" t="s">
        <v>121</v>
      </c>
      <c r="G29" s="3">
        <v>10827140</v>
      </c>
      <c r="H29" s="3">
        <v>10827140</v>
      </c>
      <c r="I29" s="4">
        <v>2941.17</v>
      </c>
      <c r="J29" t="s">
        <v>5</v>
      </c>
      <c r="K29" s="4">
        <v>0</v>
      </c>
      <c r="L29" s="2">
        <v>45616</v>
      </c>
      <c r="M29" t="s">
        <v>106</v>
      </c>
      <c r="N29" t="s">
        <v>7</v>
      </c>
      <c r="O29" s="14">
        <v>2030600090</v>
      </c>
      <c r="P29" t="s">
        <v>122</v>
      </c>
      <c r="Q29" t="s">
        <v>6</v>
      </c>
      <c r="R29" t="s">
        <v>83</v>
      </c>
      <c r="S29" t="s">
        <v>6</v>
      </c>
      <c r="T29" t="s">
        <v>76</v>
      </c>
      <c r="U29" t="s">
        <v>17</v>
      </c>
      <c r="V29" t="s">
        <v>6</v>
      </c>
      <c r="W29" t="s">
        <v>76</v>
      </c>
      <c r="X29" s="5" t="s">
        <v>6</v>
      </c>
      <c r="Y29" t="s">
        <v>6</v>
      </c>
      <c r="Z29" t="s">
        <v>6</v>
      </c>
      <c r="AA29" t="s">
        <v>7</v>
      </c>
      <c r="AB29" t="s">
        <v>6</v>
      </c>
      <c r="AC29" t="s">
        <v>28</v>
      </c>
    </row>
    <row r="30" spans="1:29" ht="14.15" customHeight="1" x14ac:dyDescent="0.25">
      <c r="A30" t="s">
        <v>0</v>
      </c>
      <c r="B30" t="s">
        <v>76</v>
      </c>
      <c r="C30" t="s">
        <v>77</v>
      </c>
      <c r="D30" s="2">
        <v>45616</v>
      </c>
      <c r="E30" t="s">
        <v>6</v>
      </c>
      <c r="F30" t="s">
        <v>123</v>
      </c>
      <c r="G30" s="3">
        <v>-9445</v>
      </c>
      <c r="H30" s="3">
        <v>-9445</v>
      </c>
      <c r="I30" s="4">
        <v>-2.57</v>
      </c>
      <c r="J30" t="s">
        <v>5</v>
      </c>
      <c r="K30" s="4">
        <v>0</v>
      </c>
      <c r="L30" s="2">
        <v>45616</v>
      </c>
      <c r="M30" t="s">
        <v>6</v>
      </c>
      <c r="N30" t="s">
        <v>7</v>
      </c>
      <c r="O30" s="14">
        <v>1040000090</v>
      </c>
      <c r="P30" t="s">
        <v>125</v>
      </c>
      <c r="Q30" t="s">
        <v>6</v>
      </c>
      <c r="R30" t="s">
        <v>83</v>
      </c>
      <c r="S30" t="s">
        <v>6</v>
      </c>
      <c r="T30" t="s">
        <v>76</v>
      </c>
      <c r="U30" t="s">
        <v>17</v>
      </c>
      <c r="V30" s="5" t="s">
        <v>6</v>
      </c>
      <c r="W30" t="s">
        <v>76</v>
      </c>
      <c r="X30" s="5" t="s">
        <v>6</v>
      </c>
      <c r="Y30" t="s">
        <v>11</v>
      </c>
      <c r="Z30" t="s">
        <v>6</v>
      </c>
      <c r="AA30" t="s">
        <v>7</v>
      </c>
      <c r="AB30" t="s">
        <v>6</v>
      </c>
      <c r="AC30" t="s">
        <v>6</v>
      </c>
    </row>
    <row r="31" spans="1:29" ht="14.15" customHeight="1" x14ac:dyDescent="0.25">
      <c r="A31" t="s">
        <v>0</v>
      </c>
      <c r="B31" t="s">
        <v>76</v>
      </c>
      <c r="C31" t="s">
        <v>77</v>
      </c>
      <c r="D31" s="2">
        <v>45616</v>
      </c>
      <c r="E31" t="s">
        <v>6</v>
      </c>
      <c r="F31" t="s">
        <v>126</v>
      </c>
      <c r="G31" s="3">
        <v>-555452</v>
      </c>
      <c r="H31" s="3">
        <v>-555452</v>
      </c>
      <c r="I31" s="4">
        <v>-150.88999999999999</v>
      </c>
      <c r="J31" t="s">
        <v>5</v>
      </c>
      <c r="K31" s="4">
        <v>0</v>
      </c>
      <c r="L31" s="2">
        <v>45616</v>
      </c>
      <c r="M31" t="s">
        <v>6</v>
      </c>
      <c r="N31" t="s">
        <v>7</v>
      </c>
      <c r="O31" s="14">
        <v>1040000090</v>
      </c>
      <c r="P31" t="s">
        <v>127</v>
      </c>
      <c r="Q31" t="s">
        <v>6</v>
      </c>
      <c r="R31" t="s">
        <v>83</v>
      </c>
      <c r="S31" t="s">
        <v>6</v>
      </c>
      <c r="T31" t="s">
        <v>76</v>
      </c>
      <c r="U31" t="s">
        <v>17</v>
      </c>
      <c r="V31" s="5" t="s">
        <v>6</v>
      </c>
      <c r="W31" t="s">
        <v>76</v>
      </c>
      <c r="X31" s="5" t="s">
        <v>6</v>
      </c>
      <c r="Y31" t="s">
        <v>11</v>
      </c>
      <c r="Z31" t="s">
        <v>6</v>
      </c>
      <c r="AA31" t="s">
        <v>7</v>
      </c>
      <c r="AB31" t="s">
        <v>6</v>
      </c>
      <c r="AC31" t="s">
        <v>6</v>
      </c>
    </row>
    <row r="32" spans="1:29" ht="14.15" customHeight="1" x14ac:dyDescent="0.25">
      <c r="A32" t="s">
        <v>0</v>
      </c>
      <c r="B32" t="s">
        <v>76</v>
      </c>
      <c r="C32" t="s">
        <v>77</v>
      </c>
      <c r="D32" s="2">
        <v>45616</v>
      </c>
      <c r="E32" t="s">
        <v>6</v>
      </c>
      <c r="F32" t="s">
        <v>128</v>
      </c>
      <c r="G32" s="3">
        <v>82520</v>
      </c>
      <c r="H32" s="3">
        <v>82520</v>
      </c>
      <c r="I32" s="4">
        <v>22.42</v>
      </c>
      <c r="J32" t="s">
        <v>5</v>
      </c>
      <c r="K32" s="4">
        <v>0</v>
      </c>
      <c r="L32" s="2">
        <v>45616</v>
      </c>
      <c r="M32" t="s">
        <v>117</v>
      </c>
      <c r="N32" t="s">
        <v>7</v>
      </c>
      <c r="O32" s="14">
        <v>2030600080</v>
      </c>
      <c r="P32" t="s">
        <v>127</v>
      </c>
      <c r="Q32" t="s">
        <v>6</v>
      </c>
      <c r="R32" t="s">
        <v>83</v>
      </c>
      <c r="S32" t="s">
        <v>6</v>
      </c>
      <c r="T32" t="s">
        <v>76</v>
      </c>
      <c r="U32" t="s">
        <v>17</v>
      </c>
      <c r="V32" t="s">
        <v>6</v>
      </c>
      <c r="W32" t="s">
        <v>76</v>
      </c>
      <c r="X32" s="5" t="s">
        <v>6</v>
      </c>
      <c r="Y32" t="s">
        <v>6</v>
      </c>
      <c r="Z32" t="s">
        <v>6</v>
      </c>
      <c r="AA32" t="s">
        <v>7</v>
      </c>
      <c r="AB32" t="s">
        <v>6</v>
      </c>
      <c r="AC32" t="s">
        <v>28</v>
      </c>
    </row>
    <row r="33" spans="1:29" ht="14.15" customHeight="1" x14ac:dyDescent="0.25">
      <c r="A33" t="s">
        <v>0</v>
      </c>
      <c r="B33" t="s">
        <v>76</v>
      </c>
      <c r="C33" t="s">
        <v>77</v>
      </c>
      <c r="D33" s="2">
        <v>45616</v>
      </c>
      <c r="E33" t="s">
        <v>6</v>
      </c>
      <c r="F33" t="s">
        <v>129</v>
      </c>
      <c r="G33" s="3">
        <v>-30872</v>
      </c>
      <c r="H33" s="3">
        <v>-30872</v>
      </c>
      <c r="I33" s="4">
        <v>-8.39</v>
      </c>
      <c r="J33" t="s">
        <v>5</v>
      </c>
      <c r="K33" s="4">
        <v>0</v>
      </c>
      <c r="L33" s="2">
        <v>45616</v>
      </c>
      <c r="M33" t="s">
        <v>6</v>
      </c>
      <c r="N33" t="s">
        <v>7</v>
      </c>
      <c r="O33" s="14">
        <v>1040000090</v>
      </c>
      <c r="P33" t="s">
        <v>130</v>
      </c>
      <c r="Q33" t="s">
        <v>6</v>
      </c>
      <c r="R33" t="s">
        <v>83</v>
      </c>
      <c r="S33" t="s">
        <v>6</v>
      </c>
      <c r="T33" t="s">
        <v>76</v>
      </c>
      <c r="U33" t="s">
        <v>17</v>
      </c>
      <c r="V33" s="5" t="s">
        <v>6</v>
      </c>
      <c r="W33" t="s">
        <v>76</v>
      </c>
      <c r="X33" s="5" t="s">
        <v>6</v>
      </c>
      <c r="Y33" t="s">
        <v>11</v>
      </c>
      <c r="Z33" t="s">
        <v>6</v>
      </c>
      <c r="AA33" t="s">
        <v>7</v>
      </c>
      <c r="AB33" t="s">
        <v>6</v>
      </c>
      <c r="AC33" t="s">
        <v>6</v>
      </c>
    </row>
    <row r="34" spans="1:29" ht="14.15" customHeight="1" x14ac:dyDescent="0.25">
      <c r="A34" t="s">
        <v>0</v>
      </c>
      <c r="B34" t="s">
        <v>76</v>
      </c>
      <c r="C34" t="s">
        <v>77</v>
      </c>
      <c r="D34" s="2">
        <v>45616</v>
      </c>
      <c r="E34" t="s">
        <v>6</v>
      </c>
      <c r="F34" t="s">
        <v>131</v>
      </c>
      <c r="G34" s="3">
        <v>72401</v>
      </c>
      <c r="H34" s="3">
        <v>72401</v>
      </c>
      <c r="I34" s="4">
        <v>19.670000000000002</v>
      </c>
      <c r="J34" t="s">
        <v>5</v>
      </c>
      <c r="K34" s="4">
        <v>0</v>
      </c>
      <c r="L34" s="2">
        <v>45616</v>
      </c>
      <c r="M34" t="s">
        <v>6</v>
      </c>
      <c r="N34" t="s">
        <v>7</v>
      </c>
      <c r="O34" s="14">
        <v>1040000090</v>
      </c>
      <c r="P34" t="s">
        <v>132</v>
      </c>
      <c r="Q34" t="s">
        <v>6</v>
      </c>
      <c r="R34" t="s">
        <v>83</v>
      </c>
      <c r="S34" t="s">
        <v>6</v>
      </c>
      <c r="T34" t="s">
        <v>76</v>
      </c>
      <c r="U34" t="s">
        <v>17</v>
      </c>
      <c r="V34" s="5" t="s">
        <v>6</v>
      </c>
      <c r="W34" t="s">
        <v>76</v>
      </c>
      <c r="X34" s="5" t="s">
        <v>6</v>
      </c>
      <c r="Y34" t="s">
        <v>11</v>
      </c>
      <c r="Z34" t="s">
        <v>6</v>
      </c>
      <c r="AA34" t="s">
        <v>7</v>
      </c>
      <c r="AB34" t="s">
        <v>6</v>
      </c>
      <c r="AC34" t="s">
        <v>6</v>
      </c>
    </row>
    <row r="35" spans="1:29" ht="14.15" customHeight="1" x14ac:dyDescent="0.25">
      <c r="A35" t="s">
        <v>0</v>
      </c>
      <c r="B35" t="s">
        <v>76</v>
      </c>
      <c r="C35" t="s">
        <v>77</v>
      </c>
      <c r="D35" s="2">
        <v>45616</v>
      </c>
      <c r="E35" t="s">
        <v>6</v>
      </c>
      <c r="F35" t="s">
        <v>133</v>
      </c>
      <c r="G35" s="3">
        <v>1013249</v>
      </c>
      <c r="H35" s="3">
        <v>1013249</v>
      </c>
      <c r="I35" s="4">
        <v>275.25</v>
      </c>
      <c r="J35" t="s">
        <v>5</v>
      </c>
      <c r="K35" s="4">
        <v>0</v>
      </c>
      <c r="L35" s="2">
        <v>45616</v>
      </c>
      <c r="M35" t="s">
        <v>6</v>
      </c>
      <c r="N35" t="s">
        <v>7</v>
      </c>
      <c r="O35" s="14">
        <v>1040000090</v>
      </c>
      <c r="P35" t="s">
        <v>132</v>
      </c>
      <c r="Q35" t="s">
        <v>6</v>
      </c>
      <c r="R35" t="s">
        <v>83</v>
      </c>
      <c r="S35" t="s">
        <v>6</v>
      </c>
      <c r="T35" t="s">
        <v>76</v>
      </c>
      <c r="U35" t="s">
        <v>17</v>
      </c>
      <c r="V35" s="5" t="s">
        <v>6</v>
      </c>
      <c r="W35" t="s">
        <v>76</v>
      </c>
      <c r="X35" s="5" t="s">
        <v>6</v>
      </c>
      <c r="Y35" t="s">
        <v>11</v>
      </c>
      <c r="Z35" t="s">
        <v>6</v>
      </c>
      <c r="AA35" t="s">
        <v>7</v>
      </c>
      <c r="AB35" t="s">
        <v>6</v>
      </c>
      <c r="AC35" t="s">
        <v>6</v>
      </c>
    </row>
    <row r="36" spans="1:29" ht="14.15" customHeight="1" x14ac:dyDescent="0.25">
      <c r="A36" t="s">
        <v>0</v>
      </c>
      <c r="B36" t="s">
        <v>76</v>
      </c>
      <c r="C36" t="s">
        <v>77</v>
      </c>
      <c r="D36" s="2">
        <v>45616</v>
      </c>
      <c r="E36" t="s">
        <v>134</v>
      </c>
      <c r="F36" t="s">
        <v>135</v>
      </c>
      <c r="G36" s="3">
        <v>-22199847</v>
      </c>
      <c r="H36" s="3">
        <v>-22199847</v>
      </c>
      <c r="I36" s="4">
        <v>-6016.59</v>
      </c>
      <c r="J36" t="s">
        <v>5</v>
      </c>
      <c r="K36" s="4">
        <v>0</v>
      </c>
      <c r="L36" s="2">
        <v>45616</v>
      </c>
      <c r="M36" t="s">
        <v>6</v>
      </c>
      <c r="N36" t="s">
        <v>7</v>
      </c>
      <c r="O36" s="14">
        <v>1040000090</v>
      </c>
      <c r="P36" t="s">
        <v>136</v>
      </c>
      <c r="Q36" t="s">
        <v>6</v>
      </c>
      <c r="R36" t="s">
        <v>83</v>
      </c>
      <c r="S36" t="s">
        <v>6</v>
      </c>
      <c r="T36" t="s">
        <v>76</v>
      </c>
      <c r="U36" t="s">
        <v>84</v>
      </c>
      <c r="V36" s="5" t="s">
        <v>6</v>
      </c>
      <c r="W36" t="s">
        <v>76</v>
      </c>
      <c r="X36" s="5" t="s">
        <v>6</v>
      </c>
      <c r="Y36" t="s">
        <v>11</v>
      </c>
      <c r="Z36" t="s">
        <v>6</v>
      </c>
      <c r="AA36" t="s">
        <v>7</v>
      </c>
      <c r="AB36" t="s">
        <v>6</v>
      </c>
      <c r="AC36" t="s">
        <v>6</v>
      </c>
    </row>
    <row r="37" spans="1:29" ht="14.15" customHeight="1" x14ac:dyDescent="0.25">
      <c r="A37" t="s">
        <v>0</v>
      </c>
      <c r="B37" t="s">
        <v>137</v>
      </c>
      <c r="C37" t="s">
        <v>138</v>
      </c>
      <c r="D37" s="2">
        <v>45621</v>
      </c>
      <c r="E37" t="s">
        <v>139</v>
      </c>
      <c r="F37" t="s">
        <v>140</v>
      </c>
      <c r="G37" s="4">
        <v>-12274.5</v>
      </c>
      <c r="H37" s="3">
        <v>-45276703</v>
      </c>
      <c r="I37" s="4">
        <v>-12274.5</v>
      </c>
      <c r="J37" t="s">
        <v>5</v>
      </c>
      <c r="K37" s="4">
        <v>0</v>
      </c>
      <c r="L37" s="2">
        <v>45626</v>
      </c>
      <c r="M37" t="s">
        <v>6</v>
      </c>
      <c r="N37" t="s">
        <v>7</v>
      </c>
      <c r="O37" s="14">
        <v>1040000110</v>
      </c>
      <c r="P37" t="s">
        <v>142</v>
      </c>
      <c r="Q37" t="s">
        <v>6</v>
      </c>
      <c r="R37" t="s">
        <v>137</v>
      </c>
      <c r="S37" t="s">
        <v>6</v>
      </c>
      <c r="T37" t="s">
        <v>137</v>
      </c>
      <c r="U37" t="s">
        <v>42</v>
      </c>
      <c r="V37" s="5" t="s">
        <v>6</v>
      </c>
      <c r="W37" t="s">
        <v>137</v>
      </c>
      <c r="X37" s="5" t="s">
        <v>6</v>
      </c>
      <c r="Y37" t="s">
        <v>11</v>
      </c>
      <c r="Z37" t="s">
        <v>143</v>
      </c>
      <c r="AA37" t="s">
        <v>5</v>
      </c>
      <c r="AB37" t="s">
        <v>6</v>
      </c>
      <c r="AC37" t="s">
        <v>6</v>
      </c>
    </row>
    <row r="38" spans="1:29" ht="14.15" customHeight="1" x14ac:dyDescent="0.25">
      <c r="A38" t="s">
        <v>0</v>
      </c>
      <c r="B38" t="s">
        <v>76</v>
      </c>
      <c r="C38" t="s">
        <v>77</v>
      </c>
      <c r="D38" s="2">
        <v>45625</v>
      </c>
      <c r="E38" t="s">
        <v>144</v>
      </c>
      <c r="F38" t="s">
        <v>145</v>
      </c>
      <c r="G38" s="3">
        <v>-2500000</v>
      </c>
      <c r="H38" s="3">
        <v>-2500000</v>
      </c>
      <c r="I38" s="4">
        <v>-677.66</v>
      </c>
      <c r="J38" t="s">
        <v>5</v>
      </c>
      <c r="K38" s="4">
        <v>0</v>
      </c>
      <c r="L38" s="2">
        <v>45625</v>
      </c>
      <c r="M38" t="s">
        <v>117</v>
      </c>
      <c r="N38" t="s">
        <v>7</v>
      </c>
      <c r="O38" s="14">
        <v>2030600080</v>
      </c>
      <c r="P38" t="s">
        <v>146</v>
      </c>
      <c r="Q38" t="s">
        <v>6</v>
      </c>
      <c r="R38" t="s">
        <v>83</v>
      </c>
      <c r="S38" t="s">
        <v>6</v>
      </c>
      <c r="T38" t="s">
        <v>76</v>
      </c>
      <c r="U38" t="s">
        <v>84</v>
      </c>
      <c r="V38" s="5" t="s">
        <v>6</v>
      </c>
      <c r="W38" t="s">
        <v>76</v>
      </c>
      <c r="X38" s="5" t="s">
        <v>6</v>
      </c>
      <c r="Y38" t="s">
        <v>11</v>
      </c>
      <c r="Z38" t="s">
        <v>120</v>
      </c>
      <c r="AA38" t="s">
        <v>7</v>
      </c>
      <c r="AB38" t="s">
        <v>6</v>
      </c>
      <c r="AC38" t="s">
        <v>28</v>
      </c>
    </row>
    <row r="39" spans="1:29" ht="14.15" customHeight="1" x14ac:dyDescent="0.25">
      <c r="A39" t="s">
        <v>0</v>
      </c>
      <c r="B39" t="s">
        <v>109</v>
      </c>
      <c r="C39" t="s">
        <v>110</v>
      </c>
      <c r="D39" s="2">
        <v>45627</v>
      </c>
      <c r="E39" t="s">
        <v>147</v>
      </c>
      <c r="F39" t="s">
        <v>148</v>
      </c>
      <c r="G39" s="3">
        <v>-300128</v>
      </c>
      <c r="H39" s="3">
        <v>-300128</v>
      </c>
      <c r="I39" s="4">
        <v>-81.36</v>
      </c>
      <c r="J39" t="s">
        <v>5</v>
      </c>
      <c r="K39" s="4">
        <v>0</v>
      </c>
      <c r="L39" s="2">
        <v>45627</v>
      </c>
      <c r="M39" t="s">
        <v>6</v>
      </c>
      <c r="N39" t="s">
        <v>7</v>
      </c>
      <c r="O39" s="14">
        <v>1040000010</v>
      </c>
      <c r="P39" t="s">
        <v>149</v>
      </c>
      <c r="Q39" t="s">
        <v>6</v>
      </c>
      <c r="R39" t="s">
        <v>109</v>
      </c>
      <c r="S39" t="s">
        <v>6</v>
      </c>
      <c r="T39" t="s">
        <v>109</v>
      </c>
      <c r="U39" t="s">
        <v>10</v>
      </c>
      <c r="V39" s="5" t="s">
        <v>6</v>
      </c>
      <c r="W39" t="s">
        <v>109</v>
      </c>
      <c r="X39" s="5" t="s">
        <v>6</v>
      </c>
      <c r="Y39" t="s">
        <v>6</v>
      </c>
      <c r="Z39" t="s">
        <v>114</v>
      </c>
      <c r="AA39" t="s">
        <v>7</v>
      </c>
      <c r="AB39" t="s">
        <v>6</v>
      </c>
      <c r="AC39" t="s">
        <v>6</v>
      </c>
    </row>
    <row r="40" spans="1:29" ht="14.15" customHeight="1" x14ac:dyDescent="0.25">
      <c r="A40" t="s">
        <v>0</v>
      </c>
      <c r="B40" t="s">
        <v>76</v>
      </c>
      <c r="C40" t="s">
        <v>77</v>
      </c>
      <c r="D40" s="2">
        <v>45645</v>
      </c>
      <c r="E40" t="s">
        <v>150</v>
      </c>
      <c r="F40" t="s">
        <v>151</v>
      </c>
      <c r="G40" s="3">
        <v>-2500000</v>
      </c>
      <c r="H40" s="3">
        <v>-2500000</v>
      </c>
      <c r="I40" s="4">
        <v>-687.2</v>
      </c>
      <c r="J40" t="s">
        <v>5</v>
      </c>
      <c r="K40" s="4">
        <v>0</v>
      </c>
      <c r="L40" s="2">
        <v>45645</v>
      </c>
      <c r="M40" t="s">
        <v>117</v>
      </c>
      <c r="N40" t="s">
        <v>7</v>
      </c>
      <c r="O40" s="14">
        <v>2030600080</v>
      </c>
      <c r="P40" t="s">
        <v>152</v>
      </c>
      <c r="Q40" t="s">
        <v>6</v>
      </c>
      <c r="R40" t="s">
        <v>83</v>
      </c>
      <c r="S40" t="s">
        <v>6</v>
      </c>
      <c r="T40" t="s">
        <v>76</v>
      </c>
      <c r="U40" t="s">
        <v>84</v>
      </c>
      <c r="V40" s="5" t="s">
        <v>6</v>
      </c>
      <c r="W40" t="s">
        <v>76</v>
      </c>
      <c r="X40" s="5" t="s">
        <v>6</v>
      </c>
      <c r="Y40" t="s">
        <v>11</v>
      </c>
      <c r="Z40" t="s">
        <v>120</v>
      </c>
      <c r="AA40" t="s">
        <v>7</v>
      </c>
      <c r="AB40" t="s">
        <v>6</v>
      </c>
      <c r="AC40" t="s">
        <v>28</v>
      </c>
    </row>
    <row r="41" spans="1:29" ht="14.15" customHeight="1" x14ac:dyDescent="0.25">
      <c r="A41" t="s">
        <v>0</v>
      </c>
      <c r="B41" t="s">
        <v>153</v>
      </c>
      <c r="C41" t="s">
        <v>154</v>
      </c>
      <c r="D41" s="2">
        <v>45657</v>
      </c>
      <c r="E41" t="s">
        <v>6</v>
      </c>
      <c r="F41" t="s">
        <v>155</v>
      </c>
      <c r="G41" s="4">
        <v>125.92</v>
      </c>
      <c r="H41" s="3">
        <v>606142</v>
      </c>
      <c r="I41" s="4">
        <v>125.92</v>
      </c>
      <c r="J41" t="s">
        <v>5</v>
      </c>
      <c r="K41" s="4">
        <v>0</v>
      </c>
      <c r="L41" s="2">
        <v>45657</v>
      </c>
      <c r="M41" t="s">
        <v>32</v>
      </c>
      <c r="N41" t="s">
        <v>7</v>
      </c>
      <c r="O41" s="14">
        <v>2020400000</v>
      </c>
      <c r="P41" t="s">
        <v>156</v>
      </c>
      <c r="Q41" t="s">
        <v>6</v>
      </c>
      <c r="R41" t="s">
        <v>153</v>
      </c>
      <c r="S41" t="s">
        <v>6</v>
      </c>
      <c r="T41" t="s">
        <v>153</v>
      </c>
      <c r="U41" t="s">
        <v>17</v>
      </c>
      <c r="V41" t="s">
        <v>6</v>
      </c>
      <c r="W41" t="s">
        <v>153</v>
      </c>
      <c r="X41" s="5" t="s">
        <v>6</v>
      </c>
      <c r="Y41" t="s">
        <v>6</v>
      </c>
      <c r="Z41" t="s">
        <v>6</v>
      </c>
      <c r="AA41" t="s">
        <v>5</v>
      </c>
      <c r="AB41" t="s">
        <v>6</v>
      </c>
      <c r="AC41" t="s">
        <v>28</v>
      </c>
    </row>
    <row r="42" spans="1:29" ht="14.15" customHeight="1" x14ac:dyDescent="0.25">
      <c r="A42" t="s">
        <v>0</v>
      </c>
      <c r="B42" t="s">
        <v>157</v>
      </c>
      <c r="C42" t="s">
        <v>158</v>
      </c>
      <c r="D42" s="2">
        <v>45657</v>
      </c>
      <c r="E42" t="s">
        <v>6</v>
      </c>
      <c r="F42" t="s">
        <v>159</v>
      </c>
      <c r="G42" s="4">
        <v>-735</v>
      </c>
      <c r="H42" s="3">
        <v>-2717192</v>
      </c>
      <c r="I42" s="4">
        <v>-735</v>
      </c>
      <c r="J42" t="s">
        <v>5</v>
      </c>
      <c r="K42" s="4">
        <v>0</v>
      </c>
      <c r="L42" s="2">
        <v>45657</v>
      </c>
      <c r="M42" t="s">
        <v>6</v>
      </c>
      <c r="N42" t="s">
        <v>7</v>
      </c>
      <c r="O42" s="14">
        <v>1040000090</v>
      </c>
      <c r="P42" t="s">
        <v>160</v>
      </c>
      <c r="Q42" t="s">
        <v>6</v>
      </c>
      <c r="R42" t="s">
        <v>161</v>
      </c>
      <c r="S42" t="s">
        <v>6</v>
      </c>
      <c r="T42" t="s">
        <v>157</v>
      </c>
      <c r="U42" t="s">
        <v>17</v>
      </c>
      <c r="V42" s="5" t="s">
        <v>6</v>
      </c>
      <c r="W42" t="s">
        <v>157</v>
      </c>
      <c r="X42" s="5" t="s">
        <v>6</v>
      </c>
      <c r="Y42" t="s">
        <v>6</v>
      </c>
      <c r="Z42" t="s">
        <v>162</v>
      </c>
      <c r="AA42" t="s">
        <v>5</v>
      </c>
      <c r="AB42" t="s">
        <v>6</v>
      </c>
      <c r="AC42" t="s">
        <v>6</v>
      </c>
    </row>
    <row r="43" spans="1:29" x14ac:dyDescent="0.25">
      <c r="A43" s="6" t="s">
        <v>6</v>
      </c>
      <c r="B43" s="6" t="s">
        <v>6</v>
      </c>
      <c r="C43" s="6" t="s">
        <v>6</v>
      </c>
      <c r="D43" s="7"/>
      <c r="E43" s="6" t="s">
        <v>6</v>
      </c>
      <c r="F43" s="6" t="s">
        <v>6</v>
      </c>
      <c r="G43" s="8">
        <v>40175388</v>
      </c>
      <c r="H43" s="8">
        <v>16490197</v>
      </c>
      <c r="I43" s="9">
        <v>4311.59</v>
      </c>
      <c r="J43" s="6" t="s">
        <v>5</v>
      </c>
      <c r="K43" s="8"/>
      <c r="L43" s="7"/>
      <c r="M43" s="6" t="s">
        <v>6</v>
      </c>
      <c r="N43" s="6" t="s">
        <v>7</v>
      </c>
      <c r="O43" s="6" t="s">
        <v>6</v>
      </c>
      <c r="P43" s="6" t="s">
        <v>6</v>
      </c>
      <c r="Q43" s="6" t="s">
        <v>6</v>
      </c>
      <c r="R43" s="6" t="s">
        <v>6</v>
      </c>
      <c r="S43" s="6" t="s">
        <v>6</v>
      </c>
      <c r="T43" s="6" t="s">
        <v>6</v>
      </c>
      <c r="U43" s="6" t="s">
        <v>6</v>
      </c>
      <c r="V43" s="6" t="s">
        <v>6</v>
      </c>
      <c r="W43" s="6" t="s">
        <v>6</v>
      </c>
      <c r="X43" s="6" t="s">
        <v>6</v>
      </c>
      <c r="Y43" s="6" t="s">
        <v>6</v>
      </c>
      <c r="Z43" s="6" t="s">
        <v>6</v>
      </c>
      <c r="AA43" s="6" t="s">
        <v>6</v>
      </c>
      <c r="AB43" s="6" t="s">
        <v>6</v>
      </c>
      <c r="AC43" s="6" t="s">
        <v>6</v>
      </c>
    </row>
    <row r="44" spans="1:29" x14ac:dyDescent="0.25">
      <c r="A44" s="6" t="s">
        <v>6</v>
      </c>
      <c r="B44" s="6" t="s">
        <v>6</v>
      </c>
      <c r="C44" s="6" t="s">
        <v>6</v>
      </c>
      <c r="D44" s="7"/>
      <c r="E44" s="6" t="s">
        <v>6</v>
      </c>
      <c r="F44" s="6" t="s">
        <v>6</v>
      </c>
      <c r="G44" s="9">
        <v>-6226.38</v>
      </c>
      <c r="H44" s="8"/>
      <c r="I44" s="8"/>
      <c r="J44" s="6" t="s">
        <v>6</v>
      </c>
      <c r="K44" s="8"/>
      <c r="L44" s="7"/>
      <c r="M44" s="6" t="s">
        <v>6</v>
      </c>
      <c r="N44" s="6" t="s">
        <v>6</v>
      </c>
      <c r="O44" s="6" t="s">
        <v>6</v>
      </c>
      <c r="P44" s="6" t="s">
        <v>6</v>
      </c>
      <c r="Q44" s="6" t="s">
        <v>6</v>
      </c>
      <c r="R44" s="6" t="s">
        <v>6</v>
      </c>
      <c r="S44" s="6" t="s">
        <v>6</v>
      </c>
      <c r="T44" s="6" t="s">
        <v>6</v>
      </c>
      <c r="U44" s="6" t="s">
        <v>6</v>
      </c>
      <c r="V44" s="6" t="s">
        <v>6</v>
      </c>
      <c r="W44" s="6" t="s">
        <v>6</v>
      </c>
      <c r="X44" s="6" t="s">
        <v>6</v>
      </c>
      <c r="Y44" s="6" t="s">
        <v>6</v>
      </c>
      <c r="Z44" s="6" t="s">
        <v>6</v>
      </c>
      <c r="AA44" s="6" t="s">
        <v>6</v>
      </c>
      <c r="AB44" s="6" t="s">
        <v>6</v>
      </c>
      <c r="AC44" s="6" t="s">
        <v>6</v>
      </c>
    </row>
  </sheetData>
  <autoFilter ref="A1:AC44" xr:uid="{9CA2B471-6AB6-464B-B51B-EEEAB1891D2D}"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FE6A-B401-43C1-8D9E-BB71BF0FECD4}">
  <dimension ref="A3:L20"/>
  <sheetViews>
    <sheetView topLeftCell="A4" workbookViewId="0">
      <selection activeCell="H23" sqref="H23"/>
    </sheetView>
  </sheetViews>
  <sheetFormatPr defaultRowHeight="12.5" x14ac:dyDescent="0.25"/>
  <cols>
    <col min="1" max="1" width="36.81640625" bestFit="1" customWidth="1"/>
    <col min="2" max="2" width="17" bestFit="1" customWidth="1"/>
    <col min="3" max="11" width="11" bestFit="1" customWidth="1"/>
    <col min="12" max="12" width="11.7265625" bestFit="1" customWidth="1"/>
  </cols>
  <sheetData>
    <row r="3" spans="1:12" x14ac:dyDescent="0.25">
      <c r="A3" s="11" t="s">
        <v>193</v>
      </c>
      <c r="B3" s="11" t="s">
        <v>194</v>
      </c>
    </row>
    <row r="4" spans="1:12" x14ac:dyDescent="0.25">
      <c r="A4" s="11" t="s">
        <v>191</v>
      </c>
      <c r="B4" t="s">
        <v>8</v>
      </c>
      <c r="C4" t="s">
        <v>124</v>
      </c>
      <c r="D4" t="s">
        <v>40</v>
      </c>
      <c r="E4" t="s">
        <v>141</v>
      </c>
      <c r="F4" t="s">
        <v>33</v>
      </c>
      <c r="G4" t="s">
        <v>90</v>
      </c>
      <c r="H4" t="s">
        <v>25</v>
      </c>
      <c r="I4" t="s">
        <v>118</v>
      </c>
      <c r="J4" t="s">
        <v>107</v>
      </c>
      <c r="K4" t="s">
        <v>81</v>
      </c>
      <c r="L4" t="s">
        <v>192</v>
      </c>
    </row>
    <row r="5" spans="1:12" x14ac:dyDescent="0.25">
      <c r="A5" s="12" t="s">
        <v>2</v>
      </c>
      <c r="B5" s="13">
        <v>-2668324</v>
      </c>
      <c r="C5" s="13"/>
      <c r="D5" s="13"/>
      <c r="E5" s="13"/>
      <c r="F5" s="13"/>
      <c r="G5" s="13"/>
      <c r="H5" s="13"/>
      <c r="I5" s="13"/>
      <c r="J5" s="13"/>
      <c r="K5" s="13"/>
      <c r="L5" s="13">
        <v>-2668324</v>
      </c>
    </row>
    <row r="6" spans="1:12" x14ac:dyDescent="0.25">
      <c r="A6" s="12" t="s">
        <v>110</v>
      </c>
      <c r="B6" s="13">
        <v>-756134</v>
      </c>
      <c r="C6" s="13"/>
      <c r="D6" s="13"/>
      <c r="E6" s="13"/>
      <c r="F6" s="13"/>
      <c r="G6" s="13"/>
      <c r="H6" s="13"/>
      <c r="I6" s="13"/>
      <c r="J6" s="13"/>
      <c r="K6" s="13"/>
      <c r="L6" s="13">
        <v>-756134</v>
      </c>
    </row>
    <row r="7" spans="1:12" x14ac:dyDescent="0.25">
      <c r="A7" s="12" t="s">
        <v>44</v>
      </c>
      <c r="B7" s="13"/>
      <c r="C7" s="13"/>
      <c r="D7" s="13">
        <v>-1809478</v>
      </c>
      <c r="E7" s="13"/>
      <c r="F7" s="13"/>
      <c r="G7" s="13"/>
      <c r="H7" s="13"/>
      <c r="I7" s="13"/>
      <c r="J7" s="13"/>
      <c r="K7" s="13"/>
      <c r="L7" s="13">
        <v>-1809478</v>
      </c>
    </row>
    <row r="8" spans="1:12" x14ac:dyDescent="0.25">
      <c r="A8" s="12" t="s">
        <v>49</v>
      </c>
      <c r="B8" s="13"/>
      <c r="C8" s="13"/>
      <c r="D8" s="13">
        <v>-287520</v>
      </c>
      <c r="E8" s="13"/>
      <c r="F8" s="13"/>
      <c r="G8" s="13"/>
      <c r="H8" s="13"/>
      <c r="I8" s="13"/>
      <c r="J8" s="13"/>
      <c r="K8" s="13"/>
      <c r="L8" s="13">
        <v>-287520</v>
      </c>
    </row>
    <row r="9" spans="1:12" x14ac:dyDescent="0.25">
      <c r="A9" s="12" t="s">
        <v>13</v>
      </c>
      <c r="B9" s="13">
        <v>-5294190</v>
      </c>
      <c r="C9" s="13"/>
      <c r="D9" s="13"/>
      <c r="E9" s="13"/>
      <c r="F9" s="13"/>
      <c r="G9" s="13"/>
      <c r="H9" s="13"/>
      <c r="I9" s="13"/>
      <c r="J9" s="13"/>
      <c r="K9" s="13"/>
      <c r="L9" s="13">
        <v>-5294190</v>
      </c>
    </row>
    <row r="10" spans="1:12" x14ac:dyDescent="0.25">
      <c r="A10" s="12" t="s">
        <v>138</v>
      </c>
      <c r="B10" s="13"/>
      <c r="C10" s="13"/>
      <c r="D10" s="13"/>
      <c r="E10" s="13">
        <v>-45276703</v>
      </c>
      <c r="F10" s="13"/>
      <c r="G10" s="13"/>
      <c r="H10" s="13"/>
      <c r="I10" s="13"/>
      <c r="J10" s="13"/>
      <c r="K10" s="13"/>
      <c r="L10" s="13">
        <v>-45276703</v>
      </c>
    </row>
    <row r="11" spans="1:12" x14ac:dyDescent="0.25">
      <c r="A11" s="12" t="s">
        <v>70</v>
      </c>
      <c r="B11" s="13"/>
      <c r="C11" s="13"/>
      <c r="D11" s="13"/>
      <c r="E11" s="13"/>
      <c r="F11" s="13">
        <v>3560000</v>
      </c>
      <c r="G11" s="13"/>
      <c r="H11" s="13"/>
      <c r="I11" s="13"/>
      <c r="J11" s="13"/>
      <c r="K11" s="13"/>
      <c r="L11" s="13">
        <v>3560000</v>
      </c>
    </row>
    <row r="12" spans="1:12" x14ac:dyDescent="0.25">
      <c r="A12" s="12" t="s">
        <v>21</v>
      </c>
      <c r="B12" s="13"/>
      <c r="C12" s="13"/>
      <c r="D12" s="13"/>
      <c r="E12" s="13"/>
      <c r="F12" s="13"/>
      <c r="G12" s="13"/>
      <c r="H12" s="13">
        <v>11184624</v>
      </c>
      <c r="I12" s="13"/>
      <c r="J12" s="13"/>
      <c r="K12" s="13"/>
      <c r="L12" s="13">
        <v>11184624</v>
      </c>
    </row>
    <row r="13" spans="1:12" x14ac:dyDescent="0.25">
      <c r="A13" s="12" t="s">
        <v>30</v>
      </c>
      <c r="B13" s="13"/>
      <c r="C13" s="13"/>
      <c r="D13" s="13"/>
      <c r="E13" s="13"/>
      <c r="F13" s="13">
        <v>3678130</v>
      </c>
      <c r="G13" s="13"/>
      <c r="H13" s="13"/>
      <c r="I13" s="13"/>
      <c r="J13" s="13"/>
      <c r="K13" s="13"/>
      <c r="L13" s="13">
        <v>3678130</v>
      </c>
    </row>
    <row r="14" spans="1:12" x14ac:dyDescent="0.25">
      <c r="A14" s="12" t="s">
        <v>158</v>
      </c>
      <c r="B14" s="13"/>
      <c r="C14" s="13">
        <v>-2717192</v>
      </c>
      <c r="D14" s="13"/>
      <c r="E14" s="13"/>
      <c r="F14" s="13"/>
      <c r="G14" s="13"/>
      <c r="H14" s="13"/>
      <c r="I14" s="13"/>
      <c r="J14" s="13"/>
      <c r="K14" s="13"/>
      <c r="L14" s="13">
        <v>-2717192</v>
      </c>
    </row>
    <row r="15" spans="1:12" x14ac:dyDescent="0.25">
      <c r="A15" s="12" t="s">
        <v>37</v>
      </c>
      <c r="B15" s="13"/>
      <c r="C15" s="13"/>
      <c r="D15" s="13">
        <v>-265444</v>
      </c>
      <c r="E15" s="13"/>
      <c r="F15" s="13"/>
      <c r="G15" s="13"/>
      <c r="H15" s="13"/>
      <c r="I15" s="13"/>
      <c r="J15" s="13"/>
      <c r="K15" s="13"/>
      <c r="L15" s="13">
        <v>-265444</v>
      </c>
    </row>
    <row r="16" spans="1:12" x14ac:dyDescent="0.25">
      <c r="A16" s="12" t="s">
        <v>154</v>
      </c>
      <c r="B16" s="13"/>
      <c r="C16" s="13"/>
      <c r="D16" s="13"/>
      <c r="E16" s="13"/>
      <c r="F16" s="13">
        <v>606142</v>
      </c>
      <c r="G16" s="13"/>
      <c r="H16" s="13"/>
      <c r="I16" s="13"/>
      <c r="J16" s="13"/>
      <c r="K16" s="13"/>
      <c r="L16" s="13">
        <v>606142</v>
      </c>
    </row>
    <row r="17" spans="1:12" x14ac:dyDescent="0.25">
      <c r="A17" s="12" t="s">
        <v>77</v>
      </c>
      <c r="B17" s="13"/>
      <c r="C17" s="13">
        <v>-21709966</v>
      </c>
      <c r="D17" s="13"/>
      <c r="E17" s="13"/>
      <c r="F17" s="13"/>
      <c r="G17" s="13">
        <v>34299275</v>
      </c>
      <c r="H17" s="13"/>
      <c r="I17" s="13">
        <v>5082520</v>
      </c>
      <c r="J17" s="13">
        <v>25443140</v>
      </c>
      <c r="K17" s="13">
        <v>11607300</v>
      </c>
      <c r="L17" s="13">
        <v>54722269</v>
      </c>
    </row>
    <row r="18" spans="1:12" x14ac:dyDescent="0.25">
      <c r="A18" s="12" t="s">
        <v>100</v>
      </c>
      <c r="B18" s="13"/>
      <c r="C18" s="13"/>
      <c r="D18" s="13"/>
      <c r="E18" s="13"/>
      <c r="F18" s="13">
        <v>7642250</v>
      </c>
      <c r="G18" s="13"/>
      <c r="H18" s="13"/>
      <c r="I18" s="13"/>
      <c r="J18" s="13"/>
      <c r="K18" s="13"/>
      <c r="L18" s="13">
        <v>7642250</v>
      </c>
    </row>
    <row r="19" spans="1:12" x14ac:dyDescent="0.25">
      <c r="A19" s="12" t="s">
        <v>65</v>
      </c>
      <c r="B19" s="13">
        <v>-5828233</v>
      </c>
      <c r="C19" s="13"/>
      <c r="D19" s="13"/>
      <c r="E19" s="13"/>
      <c r="F19" s="13"/>
      <c r="G19" s="13"/>
      <c r="H19" s="13"/>
      <c r="I19" s="13"/>
      <c r="J19" s="13"/>
      <c r="K19" s="13"/>
      <c r="L19" s="13">
        <v>-5828233</v>
      </c>
    </row>
    <row r="20" spans="1:12" x14ac:dyDescent="0.25">
      <c r="A20" s="12" t="s">
        <v>192</v>
      </c>
      <c r="B20" s="13">
        <v>-14546881</v>
      </c>
      <c r="C20" s="13">
        <v>-24427158</v>
      </c>
      <c r="D20" s="13">
        <v>-2362442</v>
      </c>
      <c r="E20" s="13">
        <v>-45276703</v>
      </c>
      <c r="F20" s="13">
        <v>15486522</v>
      </c>
      <c r="G20" s="13">
        <v>34299275</v>
      </c>
      <c r="H20" s="13">
        <v>11184624</v>
      </c>
      <c r="I20" s="13">
        <v>5082520</v>
      </c>
      <c r="J20" s="13">
        <v>25443140</v>
      </c>
      <c r="K20" s="13">
        <v>11607300</v>
      </c>
      <c r="L20" s="13">
        <v>16490197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9E7C5E95DA54E8D96DBB9F17DF0EC" ma:contentTypeVersion="12" ma:contentTypeDescription="Create a new document." ma:contentTypeScope="" ma:versionID="f229d9a6cbb1ca11ee2956cd81ec8d6b">
  <xsd:schema xmlns:xsd="http://www.w3.org/2001/XMLSchema" xmlns:xs="http://www.w3.org/2001/XMLSchema" xmlns:p="http://schemas.microsoft.com/office/2006/metadata/properties" xmlns:ns1="http://schemas.microsoft.com/sharepoint/v3" xmlns:ns2="40f5f46b-9539-494b-82dd-a822a072c4ed" xmlns:ns3="6a0a9ed7-60d1-41c8-8901-07040a77e0c0" targetNamespace="http://schemas.microsoft.com/office/2006/metadata/properties" ma:root="true" ma:fieldsID="2bd434c4b0a6eb74c40928f680d479fe" ns1:_="" ns2:_="" ns3:_="">
    <xsd:import namespace="http://schemas.microsoft.com/sharepoint/v3"/>
    <xsd:import namespace="40f5f46b-9539-494b-82dd-a822a072c4ed"/>
    <xsd:import namespace="6a0a9ed7-60d1-41c8-8901-07040a77e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5f46b-9539-494b-82dd-a822a072c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a63a73-3343-4f42-9fde-01e9ae948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a9ed7-60d1-41c8-8901-07040a77e0c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629cbdb-4904-476c-b1f0-79ef46f094eb}" ma:internalName="TaxCatchAll" ma:showField="CatchAllData" ma:web="6a0a9ed7-60d1-41c8-8901-07040a77e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0f5f46b-9539-494b-82dd-a822a072c4ed">
      <Terms xmlns="http://schemas.microsoft.com/office/infopath/2007/PartnerControls"/>
    </lcf76f155ced4ddcb4097134ff3c332f>
    <_ip_UnifiedCompliancePolicyProperties xmlns="http://schemas.microsoft.com/sharepoint/v3" xsi:nil="true"/>
    <TaxCatchAll xmlns="6a0a9ed7-60d1-41c8-8901-07040a77e0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97209-3118-4081-A0FA-C71C63FB8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f5f46b-9539-494b-82dd-a822a072c4ed"/>
    <ds:schemaRef ds:uri="6a0a9ed7-60d1-41c8-8901-07040a77e0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7BFE1-2202-479A-ACB4-AC38127AB73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0f5f46b-9539-494b-82dd-a822a072c4ed"/>
    <ds:schemaRef ds:uri="6a0a9ed7-60d1-41c8-8901-07040a77e0c0"/>
  </ds:schemaRefs>
</ds:datastoreItem>
</file>

<file path=customXml/itemProps3.xml><?xml version="1.0" encoding="utf-8"?>
<ds:datastoreItem xmlns:ds="http://schemas.openxmlformats.org/officeDocument/2006/customXml" ds:itemID="{D0F70B5A-1BA6-4048-9812-2D5C9E52BD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Simon Mburu</cp:lastModifiedBy>
  <cp:revision>1</cp:revision>
  <dcterms:modified xsi:type="dcterms:W3CDTF">2025-09-03T09:02:53Z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0x010100AAB9E7C5E95DA54E8D96DBB9F17DF0EC</vt:lpwstr>
  </property>
</Properties>
</file>